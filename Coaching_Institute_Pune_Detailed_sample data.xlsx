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hubh\Desktop\Project\"/>
    </mc:Choice>
  </mc:AlternateContent>
  <xr:revisionPtr revIDLastSave="0" documentId="13_ncr:1_{AFDE676F-CEF9-4AE5-9018-E82CE7A79555}" xr6:coauthVersionLast="47" xr6:coauthVersionMax="47" xr10:uidLastSave="{00000000-0000-0000-0000-000000000000}"/>
  <bookViews>
    <workbookView xWindow="-120" yWindow="-120" windowWidth="21840" windowHeight="13140" firstSheet="1" activeTab="3" xr2:uid="{00000000-000D-0000-FFFF-FFFF00000000}"/>
  </bookViews>
  <sheets>
    <sheet name="Pivot Table" sheetId="47" r:id="rId1"/>
    <sheet name="Combined attendance" sheetId="44" r:id="rId2"/>
    <sheet name="Aundh" sheetId="1" r:id="rId3"/>
    <sheet name="Master Sheet" sheetId="50" r:id="rId4"/>
    <sheet name="Sheet1" sheetId="49" r:id="rId5"/>
    <sheet name="Kondhwa" sheetId="2" r:id="rId6"/>
    <sheet name="Sinhgad_Road" sheetId="3" r:id="rId7"/>
  </sheets>
  <definedNames>
    <definedName name="_xlnm._FilterDatabase" localSheetId="2" hidden="1">Aundh!$A$1:$AW$51</definedName>
    <definedName name="_xlnm._FilterDatabase" localSheetId="1" hidden="1">'Combined attendance'!$G$2:$H$2</definedName>
    <definedName name="_xlnm._FilterDatabase" localSheetId="5" hidden="1">Kondhwa!$A$1:$AW$51</definedName>
    <definedName name="_xlnm._FilterDatabase" localSheetId="6" hidden="1">Sinhgad_Road!$A$1:$AW$51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X3" i="50" l="1"/>
  <c r="AX4" i="50"/>
  <c r="AX5" i="50"/>
  <c r="AX6" i="50"/>
  <c r="AX7" i="50"/>
  <c r="AX8" i="50"/>
  <c r="AX9" i="50"/>
  <c r="AX10" i="50"/>
  <c r="AX11" i="50"/>
  <c r="AX12" i="50"/>
  <c r="AX13" i="50"/>
  <c r="AX14" i="50"/>
  <c r="AX15" i="50"/>
  <c r="AX16" i="50"/>
  <c r="AX17" i="50"/>
  <c r="AX18" i="50"/>
  <c r="AX19" i="50"/>
  <c r="AX20" i="50"/>
  <c r="AX21" i="50"/>
  <c r="AX22" i="50"/>
  <c r="AX23" i="50"/>
  <c r="AX24" i="50"/>
  <c r="AX25" i="50"/>
  <c r="AX26" i="50"/>
  <c r="AX27" i="50"/>
  <c r="AX28" i="50"/>
  <c r="AX29" i="50"/>
  <c r="AX30" i="50"/>
  <c r="AX31" i="50"/>
  <c r="AX32" i="50"/>
  <c r="AX33" i="50"/>
  <c r="AX34" i="50"/>
  <c r="AX35" i="50"/>
  <c r="AX36" i="50"/>
  <c r="AX37" i="50"/>
  <c r="AX38" i="50"/>
  <c r="AX39" i="50"/>
  <c r="AX40" i="50"/>
  <c r="AX41" i="50"/>
  <c r="AX42" i="50"/>
  <c r="AX43" i="50"/>
  <c r="AX44" i="50"/>
  <c r="AX45" i="50"/>
  <c r="AX46" i="50"/>
  <c r="AX47" i="50"/>
  <c r="AX48" i="50"/>
  <c r="AX49" i="50"/>
  <c r="AX50" i="50"/>
  <c r="AX51" i="50"/>
  <c r="AX52" i="50"/>
  <c r="AX53" i="50"/>
  <c r="AX54" i="50"/>
  <c r="AX55" i="50"/>
  <c r="AX56" i="50"/>
  <c r="AX57" i="50"/>
  <c r="AX58" i="50"/>
  <c r="AX59" i="50"/>
  <c r="AX60" i="50"/>
  <c r="AX61" i="50"/>
  <c r="AX62" i="50"/>
  <c r="AX63" i="50"/>
  <c r="AX64" i="50"/>
  <c r="AX65" i="50"/>
  <c r="AX66" i="50"/>
  <c r="AX67" i="50"/>
  <c r="AX68" i="50"/>
  <c r="AX69" i="50"/>
  <c r="AX70" i="50"/>
  <c r="AX71" i="50"/>
  <c r="AX72" i="50"/>
  <c r="AX73" i="50"/>
  <c r="AX74" i="50"/>
  <c r="AX75" i="50"/>
  <c r="AX76" i="50"/>
  <c r="AX77" i="50"/>
  <c r="AX78" i="50"/>
  <c r="AX79" i="50"/>
  <c r="AX80" i="50"/>
  <c r="AX81" i="50"/>
  <c r="AX82" i="50"/>
  <c r="AX83" i="50"/>
  <c r="AX84" i="50"/>
  <c r="AX85" i="50"/>
  <c r="AX86" i="50"/>
  <c r="AX87" i="50"/>
  <c r="AX88" i="50"/>
  <c r="AX89" i="50"/>
  <c r="AX90" i="50"/>
  <c r="AX91" i="50"/>
  <c r="AX92" i="50"/>
  <c r="AX93" i="50"/>
  <c r="AX94" i="50"/>
  <c r="AX95" i="50"/>
  <c r="AX96" i="50"/>
  <c r="AX97" i="50"/>
  <c r="AX98" i="50"/>
  <c r="AX99" i="50"/>
  <c r="AX100" i="50"/>
  <c r="AX101" i="50"/>
  <c r="AX102" i="50"/>
  <c r="AX103" i="50"/>
  <c r="AX104" i="50"/>
  <c r="AX105" i="50"/>
  <c r="AX106" i="50"/>
  <c r="AX107" i="50"/>
  <c r="AX108" i="50"/>
  <c r="AX109" i="50"/>
  <c r="AX110" i="50"/>
  <c r="AX111" i="50"/>
  <c r="AX112" i="50"/>
  <c r="AX113" i="50"/>
  <c r="AX114" i="50"/>
  <c r="AX115" i="50"/>
  <c r="AX116" i="50"/>
  <c r="AX117" i="50"/>
  <c r="AX118" i="50"/>
  <c r="AX119" i="50"/>
  <c r="AX120" i="50"/>
  <c r="AX121" i="50"/>
  <c r="AX122" i="50"/>
  <c r="AX123" i="50"/>
  <c r="AX124" i="50"/>
  <c r="AX125" i="50"/>
  <c r="AX126" i="50"/>
  <c r="AX127" i="50"/>
  <c r="AX128" i="50"/>
  <c r="AX129" i="50"/>
  <c r="AX130" i="50"/>
  <c r="AX131" i="50"/>
  <c r="AX132" i="50"/>
  <c r="AX133" i="50"/>
  <c r="AX134" i="50"/>
  <c r="AX135" i="50"/>
  <c r="AX136" i="50"/>
  <c r="AX137" i="50"/>
  <c r="AX138" i="50"/>
  <c r="AX139" i="50"/>
  <c r="AX140" i="50"/>
  <c r="AX141" i="50"/>
  <c r="AX142" i="50"/>
  <c r="AX143" i="50"/>
  <c r="AX144" i="50"/>
  <c r="AX145" i="50"/>
  <c r="AX146" i="50"/>
  <c r="AX147" i="50"/>
  <c r="AX148" i="50"/>
  <c r="AX149" i="50"/>
  <c r="AX150" i="50"/>
  <c r="AX151" i="50"/>
  <c r="AX2" i="50"/>
  <c r="AB51" i="50"/>
  <c r="AB50" i="50"/>
  <c r="AB49" i="50"/>
  <c r="AB48" i="50"/>
  <c r="AB47" i="50"/>
  <c r="AB46" i="50"/>
  <c r="AB45" i="50"/>
  <c r="AB44" i="50"/>
  <c r="AB43" i="50"/>
  <c r="AB42" i="50"/>
  <c r="AB41" i="50"/>
  <c r="AB40" i="50"/>
  <c r="AB39" i="50"/>
  <c r="AB38" i="50"/>
  <c r="AB37" i="50"/>
  <c r="AB36" i="50"/>
  <c r="AB35" i="50"/>
  <c r="AB34" i="50"/>
  <c r="AB33" i="50"/>
  <c r="AB32" i="50"/>
  <c r="AB31" i="50"/>
  <c r="AB30" i="50"/>
  <c r="AB29" i="50"/>
  <c r="AB28" i="50"/>
  <c r="AB27" i="50"/>
  <c r="AB26" i="50"/>
  <c r="AB25" i="50"/>
  <c r="AB24" i="50"/>
  <c r="AB23" i="50"/>
  <c r="AB22" i="50"/>
  <c r="AB21" i="50"/>
  <c r="AB20" i="50"/>
  <c r="AB19" i="50"/>
  <c r="AB18" i="50"/>
  <c r="AB17" i="50"/>
  <c r="AB16" i="50"/>
  <c r="AB15" i="50"/>
  <c r="AB14" i="50"/>
  <c r="AB13" i="50"/>
  <c r="AB12" i="50"/>
  <c r="AB11" i="50"/>
  <c r="AB10" i="50"/>
  <c r="AB9" i="50"/>
  <c r="AB8" i="50"/>
  <c r="AB7" i="50"/>
  <c r="AB6" i="50"/>
  <c r="AB5" i="50"/>
  <c r="AB4" i="50"/>
  <c r="AB3" i="50"/>
  <c r="AB2" i="50"/>
  <c r="D51" i="49"/>
  <c r="C51" i="49"/>
  <c r="B51" i="49"/>
  <c r="A51" i="49"/>
  <c r="D50" i="49"/>
  <c r="C50" i="49"/>
  <c r="B50" i="49"/>
  <c r="A50" i="49"/>
  <c r="D49" i="49"/>
  <c r="C49" i="49"/>
  <c r="B49" i="49"/>
  <c r="A49" i="49"/>
  <c r="D48" i="49"/>
  <c r="C48" i="49"/>
  <c r="B48" i="49"/>
  <c r="A48" i="49"/>
  <c r="D47" i="49"/>
  <c r="C47" i="49"/>
  <c r="B47" i="49"/>
  <c r="A47" i="49"/>
  <c r="D46" i="49"/>
  <c r="C46" i="49"/>
  <c r="B46" i="49"/>
  <c r="A46" i="49"/>
  <c r="D45" i="49"/>
  <c r="C45" i="49"/>
  <c r="B45" i="49"/>
  <c r="A45" i="49"/>
  <c r="D44" i="49"/>
  <c r="C44" i="49"/>
  <c r="B44" i="49"/>
  <c r="A44" i="49"/>
  <c r="D43" i="49"/>
  <c r="C43" i="49"/>
  <c r="B43" i="49"/>
  <c r="A43" i="49"/>
  <c r="D42" i="49"/>
  <c r="C42" i="49"/>
  <c r="B42" i="49"/>
  <c r="A42" i="49"/>
  <c r="D41" i="49"/>
  <c r="C41" i="49"/>
  <c r="B41" i="49"/>
  <c r="A41" i="49"/>
  <c r="D40" i="49"/>
  <c r="C40" i="49"/>
  <c r="B40" i="49"/>
  <c r="A40" i="49"/>
  <c r="D39" i="49"/>
  <c r="C39" i="49"/>
  <c r="B39" i="49"/>
  <c r="A39" i="49"/>
  <c r="D38" i="49"/>
  <c r="C38" i="49"/>
  <c r="B38" i="49"/>
  <c r="A38" i="49"/>
  <c r="D37" i="49"/>
  <c r="C37" i="49"/>
  <c r="B37" i="49"/>
  <c r="A37" i="49"/>
  <c r="D36" i="49"/>
  <c r="C36" i="49"/>
  <c r="B36" i="49"/>
  <c r="A36" i="49"/>
  <c r="D35" i="49"/>
  <c r="C35" i="49"/>
  <c r="B35" i="49"/>
  <c r="A35" i="49"/>
  <c r="D34" i="49"/>
  <c r="C34" i="49"/>
  <c r="B34" i="49"/>
  <c r="A34" i="49"/>
  <c r="D33" i="49"/>
  <c r="C33" i="49"/>
  <c r="B33" i="49"/>
  <c r="A33" i="49"/>
  <c r="D32" i="49"/>
  <c r="C32" i="49"/>
  <c r="B32" i="49"/>
  <c r="A32" i="49"/>
  <c r="D31" i="49"/>
  <c r="C31" i="49"/>
  <c r="B31" i="49"/>
  <c r="A31" i="49"/>
  <c r="D30" i="49"/>
  <c r="C30" i="49"/>
  <c r="B30" i="49"/>
  <c r="A30" i="49"/>
  <c r="D29" i="49"/>
  <c r="C29" i="49"/>
  <c r="B29" i="49"/>
  <c r="A29" i="49"/>
  <c r="D28" i="49"/>
  <c r="C28" i="49"/>
  <c r="B28" i="49"/>
  <c r="A28" i="49"/>
  <c r="D27" i="49"/>
  <c r="C27" i="49"/>
  <c r="B27" i="49"/>
  <c r="A27" i="49"/>
  <c r="D26" i="49"/>
  <c r="C26" i="49"/>
  <c r="B26" i="49"/>
  <c r="A26" i="49"/>
  <c r="D25" i="49"/>
  <c r="C25" i="49"/>
  <c r="B25" i="49"/>
  <c r="A25" i="49"/>
  <c r="D24" i="49"/>
  <c r="C24" i="49"/>
  <c r="B24" i="49"/>
  <c r="A24" i="49"/>
  <c r="D23" i="49"/>
  <c r="C23" i="49"/>
  <c r="B23" i="49"/>
  <c r="A23" i="49"/>
  <c r="D22" i="49"/>
  <c r="C22" i="49"/>
  <c r="B22" i="49"/>
  <c r="A22" i="49"/>
  <c r="D21" i="49"/>
  <c r="C21" i="49"/>
  <c r="B21" i="49"/>
  <c r="A21" i="49"/>
  <c r="D20" i="49"/>
  <c r="C20" i="49"/>
  <c r="B20" i="49"/>
  <c r="A20" i="49"/>
  <c r="D19" i="49"/>
  <c r="C19" i="49"/>
  <c r="B19" i="49"/>
  <c r="A19" i="49"/>
  <c r="D18" i="49"/>
  <c r="C18" i="49"/>
  <c r="B18" i="49"/>
  <c r="A18" i="49"/>
  <c r="D17" i="49"/>
  <c r="C17" i="49"/>
  <c r="B17" i="49"/>
  <c r="A17" i="49"/>
  <c r="D16" i="49"/>
  <c r="C16" i="49"/>
  <c r="B16" i="49"/>
  <c r="A16" i="49"/>
  <c r="D15" i="49"/>
  <c r="C15" i="49"/>
  <c r="B15" i="49"/>
  <c r="A15" i="49"/>
  <c r="D14" i="49"/>
  <c r="C14" i="49"/>
  <c r="B14" i="49"/>
  <c r="A14" i="49"/>
  <c r="D13" i="49"/>
  <c r="C13" i="49"/>
  <c r="B13" i="49"/>
  <c r="A13" i="49"/>
  <c r="D12" i="49"/>
  <c r="C12" i="49"/>
  <c r="B12" i="49"/>
  <c r="A12" i="49"/>
  <c r="D11" i="49"/>
  <c r="C11" i="49"/>
  <c r="B11" i="49"/>
  <c r="A11" i="49"/>
  <c r="D10" i="49"/>
  <c r="C10" i="49"/>
  <c r="B10" i="49"/>
  <c r="A10" i="49"/>
  <c r="D9" i="49"/>
  <c r="C9" i="49"/>
  <c r="B9" i="49"/>
  <c r="A9" i="49"/>
  <c r="D8" i="49"/>
  <c r="C8" i="49"/>
  <c r="B8" i="49"/>
  <c r="A8" i="49"/>
  <c r="D7" i="49"/>
  <c r="C7" i="49"/>
  <c r="B7" i="49"/>
  <c r="A7" i="49"/>
  <c r="D6" i="49"/>
  <c r="C6" i="49"/>
  <c r="B6" i="49"/>
  <c r="A6" i="49"/>
  <c r="D5" i="49"/>
  <c r="C5" i="49"/>
  <c r="B5" i="49"/>
  <c r="A5" i="49"/>
  <c r="D4" i="49"/>
  <c r="C4" i="49"/>
  <c r="B4" i="49"/>
  <c r="A4" i="49"/>
  <c r="D3" i="49"/>
  <c r="C3" i="49"/>
  <c r="B3" i="49"/>
  <c r="A3" i="49"/>
  <c r="D2" i="49"/>
  <c r="C2" i="49"/>
  <c r="B2" i="49"/>
  <c r="A2" i="49"/>
  <c r="B3" i="44" a="1"/>
  <c r="B3" i="44" s="1"/>
  <c r="C3" i="44" s="1" a="1"/>
  <c r="C3" i="44" s="1"/>
  <c r="H3" i="44" a="1"/>
  <c r="H3" i="44" s="1"/>
  <c r="I3" i="44" s="1" a="1"/>
  <c r="I3" i="44" s="1"/>
  <c r="E3" i="44" a="1"/>
  <c r="E3" i="44" s="1"/>
  <c r="F3" i="44" s="1" a="1"/>
  <c r="F3" i="44" s="1"/>
  <c r="AB2" i="1"/>
  <c r="F2" i="49" s="1"/>
  <c r="AB3" i="1"/>
  <c r="F3" i="49" s="1"/>
  <c r="AB4" i="1"/>
  <c r="F4" i="49" s="1"/>
  <c r="AB5" i="1"/>
  <c r="F5" i="49" s="1"/>
  <c r="AB6" i="1"/>
  <c r="F6" i="49" s="1"/>
  <c r="AB7" i="1"/>
  <c r="F7" i="49" s="1"/>
  <c r="AB8" i="1"/>
  <c r="F8" i="49" s="1"/>
  <c r="AB9" i="1"/>
  <c r="F9" i="49" s="1"/>
  <c r="AB10" i="1"/>
  <c r="F10" i="49" s="1"/>
  <c r="AB11" i="1"/>
  <c r="F11" i="49" s="1"/>
  <c r="AB12" i="1"/>
  <c r="F12" i="49" s="1"/>
  <c r="AB13" i="1"/>
  <c r="F13" i="49" s="1"/>
  <c r="AB14" i="1"/>
  <c r="F14" i="49" s="1"/>
  <c r="AB15" i="1"/>
  <c r="F15" i="49" s="1"/>
  <c r="AB16" i="1"/>
  <c r="F16" i="49" s="1"/>
  <c r="AB17" i="1"/>
  <c r="F17" i="49" s="1"/>
  <c r="AB18" i="1"/>
  <c r="F18" i="49" s="1"/>
  <c r="AB19" i="1"/>
  <c r="F19" i="49" s="1"/>
  <c r="AB20" i="1"/>
  <c r="F20" i="49" s="1"/>
  <c r="AB21" i="1"/>
  <c r="F21" i="49" s="1"/>
  <c r="AB22" i="1"/>
  <c r="F22" i="49" s="1"/>
  <c r="AB23" i="1"/>
  <c r="F23" i="49" s="1"/>
  <c r="AB24" i="1"/>
  <c r="F24" i="49" s="1"/>
  <c r="AB25" i="1"/>
  <c r="F25" i="49" s="1"/>
  <c r="AB26" i="1"/>
  <c r="F26" i="49" s="1"/>
  <c r="AB27" i="1"/>
  <c r="F27" i="49" s="1"/>
  <c r="AB28" i="1"/>
  <c r="F28" i="49" s="1"/>
  <c r="AB29" i="1"/>
  <c r="F29" i="49" s="1"/>
  <c r="AB30" i="1"/>
  <c r="F30" i="49" s="1"/>
  <c r="AB31" i="1"/>
  <c r="F31" i="49" s="1"/>
  <c r="AB32" i="1"/>
  <c r="F32" i="49" s="1"/>
  <c r="AB33" i="1"/>
  <c r="F33" i="49" s="1"/>
  <c r="AB34" i="1"/>
  <c r="F34" i="49" s="1"/>
  <c r="AB35" i="1"/>
  <c r="F35" i="49" s="1"/>
  <c r="AB36" i="1"/>
  <c r="F36" i="49" s="1"/>
  <c r="AB37" i="1"/>
  <c r="F37" i="49" s="1"/>
  <c r="AB38" i="1"/>
  <c r="F38" i="49" s="1"/>
  <c r="AB39" i="1"/>
  <c r="F39" i="49" s="1"/>
  <c r="AB40" i="1"/>
  <c r="F40" i="49" s="1"/>
  <c r="AB41" i="1"/>
  <c r="F41" i="49" s="1"/>
  <c r="AB42" i="1"/>
  <c r="F42" i="49" s="1"/>
  <c r="AB43" i="1"/>
  <c r="F43" i="49" s="1"/>
  <c r="AB44" i="1"/>
  <c r="F44" i="49" s="1"/>
  <c r="AB45" i="1"/>
  <c r="F45" i="49" s="1"/>
  <c r="AB46" i="1"/>
  <c r="F46" i="49" s="1"/>
  <c r="AB47" i="1"/>
  <c r="F47" i="49" s="1"/>
  <c r="AB48" i="1"/>
  <c r="F48" i="49" s="1"/>
  <c r="AB49" i="1"/>
  <c r="F49" i="49" s="1"/>
  <c r="AB50" i="1"/>
  <c r="F50" i="49" s="1"/>
  <c r="AB51" i="1"/>
  <c r="F51" i="49" s="1"/>
  <c r="E11" i="49" l="1"/>
  <c r="E13" i="49"/>
  <c r="E15" i="49"/>
  <c r="E17" i="49"/>
  <c r="E31" i="49"/>
  <c r="E33" i="49"/>
  <c r="E39" i="49"/>
  <c r="E41" i="49"/>
  <c r="E43" i="49"/>
  <c r="E45" i="49"/>
  <c r="E47" i="49"/>
  <c r="E49" i="49"/>
  <c r="E51" i="49"/>
  <c r="E2" i="49"/>
  <c r="E4" i="49"/>
  <c r="E6" i="49"/>
  <c r="E8" i="49"/>
  <c r="E18" i="49"/>
  <c r="E20" i="49"/>
  <c r="E22" i="49"/>
  <c r="E24" i="49"/>
  <c r="E26" i="49"/>
  <c r="E28" i="49"/>
  <c r="E34" i="49"/>
  <c r="E36" i="49"/>
  <c r="E10" i="49"/>
  <c r="E12" i="49"/>
  <c r="E3" i="49"/>
  <c r="E5" i="49"/>
  <c r="E14" i="49"/>
  <c r="E16" i="49"/>
  <c r="E19" i="49"/>
  <c r="E21" i="49"/>
  <c r="E30" i="49"/>
  <c r="E32" i="49"/>
  <c r="E35" i="49"/>
  <c r="E37" i="49"/>
  <c r="E7" i="49"/>
  <c r="E9" i="49"/>
  <c r="E23" i="49"/>
  <c r="E25" i="49"/>
  <c r="E27" i="49"/>
  <c r="E29" i="49"/>
  <c r="E38" i="49"/>
  <c r="E40" i="49"/>
  <c r="E42" i="49"/>
  <c r="E44" i="49"/>
  <c r="E46" i="49"/>
  <c r="E48" i="49"/>
  <c r="E50" i="4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<sst xmlns="http://schemas.openxmlformats.org/spreadsheetml/2006/main" count="10119" uniqueCount="1398">
  <si>
    <t>Student ID</t>
  </si>
  <si>
    <t>Student Name</t>
  </si>
  <si>
    <t>Date of Birth</t>
  </si>
  <si>
    <t>Gender</t>
  </si>
  <si>
    <t>Parent Contact Number</t>
  </si>
  <si>
    <t>Student Email</t>
  </si>
  <si>
    <t>Address</t>
  </si>
  <si>
    <t>School/College Name</t>
  </si>
  <si>
    <t>Previous Academic Performance (%)</t>
  </si>
  <si>
    <t>Emergency Contact</t>
  </si>
  <si>
    <t>Course</t>
  </si>
  <si>
    <t>Course Duration (Months)</t>
  </si>
  <si>
    <t>Batch</t>
  </si>
  <si>
    <t>Batch Start Date</t>
  </si>
  <si>
    <t>Batch End Date</t>
  </si>
  <si>
    <t>Classroom/Room No.</t>
  </si>
  <si>
    <t>Mode</t>
  </si>
  <si>
    <t>Session Days</t>
  </si>
  <si>
    <t>Subject</t>
  </si>
  <si>
    <t>Teacher</t>
  </si>
  <si>
    <t>Enrollment Date</t>
  </si>
  <si>
    <t>Registration Date</t>
  </si>
  <si>
    <t>Total Course Fees</t>
  </si>
  <si>
    <t>Amount Paid</t>
  </si>
  <si>
    <t>Pending Amount</t>
  </si>
  <si>
    <t>Discount Given</t>
  </si>
  <si>
    <t>Installment Plan</t>
  </si>
  <si>
    <t>Next Payment Due Date</t>
  </si>
  <si>
    <t>Payment Status</t>
  </si>
  <si>
    <t>Payment Method</t>
  </si>
  <si>
    <t>Number of Tests Taken</t>
  </si>
  <si>
    <t>Average Test Score</t>
  </si>
  <si>
    <t>Top Test Score</t>
  </si>
  <si>
    <t>Progress Comments</t>
  </si>
  <si>
    <t>Homework Completion Rate (%)</t>
  </si>
  <si>
    <t>Total Classes Conducted</t>
  </si>
  <si>
    <t>Classes Attended</t>
  </si>
  <si>
    <t>Leave Notes/Remarks</t>
  </si>
  <si>
    <t>Attendance (%)</t>
  </si>
  <si>
    <t>Attendance Alerts Sent</t>
  </si>
  <si>
    <t>Parent Feedback</t>
  </si>
  <si>
    <t>Student Feedback</t>
  </si>
  <si>
    <t>Last Feedback Date</t>
  </si>
  <si>
    <t>Follow-up Date</t>
  </si>
  <si>
    <t>WhatsApp Opt-in</t>
  </si>
  <si>
    <t>Lead Source</t>
  </si>
  <si>
    <t>Counselor/Admission Handled By</t>
  </si>
  <si>
    <t>Dropout Status</t>
  </si>
  <si>
    <t>Reason for Leaving</t>
  </si>
  <si>
    <t>AU-001</t>
  </si>
  <si>
    <t>Reyansh Sharma</t>
  </si>
  <si>
    <t>2005-01-18</t>
  </si>
  <si>
    <t>Female</t>
  </si>
  <si>
    <t>Ira Kumar</t>
  </si>
  <si>
    <t>9855426302</t>
  </si>
  <si>
    <t>reyansh.sharma1@gmail.com</t>
  </si>
  <si>
    <t>463, Aundh Pune</t>
  </si>
  <si>
    <t>National School</t>
  </si>
  <si>
    <t>9926479089</t>
  </si>
  <si>
    <t>Foundation 8-10</t>
  </si>
  <si>
    <t>Evening</t>
  </si>
  <si>
    <t>2024-01-02</t>
  </si>
  <si>
    <t>2024-12-27</t>
  </si>
  <si>
    <t>R-113</t>
  </si>
  <si>
    <t>Hybrid</t>
  </si>
  <si>
    <t>Tue-Thu-Sat</t>
  </si>
  <si>
    <t>Maths</t>
  </si>
  <si>
    <t>Preeti Desai</t>
  </si>
  <si>
    <t>2024-04-20</t>
  </si>
  <si>
    <t>2024-04-14</t>
  </si>
  <si>
    <t>No</t>
  </si>
  <si>
    <t>Partial</t>
  </si>
  <si>
    <t>Card</t>
  </si>
  <si>
    <t>Average</t>
  </si>
  <si>
    <t>2024-05-14</t>
  </si>
  <si>
    <t>2024-06-08</t>
  </si>
  <si>
    <t>Referral</t>
  </si>
  <si>
    <t>Amit Deshmukh</t>
  </si>
  <si>
    <t>Left</t>
  </si>
  <si>
    <t>Lost interest</t>
  </si>
  <si>
    <t>AU-002</t>
  </si>
  <si>
    <t>Aarav Kumar</t>
  </si>
  <si>
    <t>2005-09-11</t>
  </si>
  <si>
    <t>Ayaan Desai</t>
  </si>
  <si>
    <t>9856784978</t>
  </si>
  <si>
    <t>aarav.kumar2@gmail.com</t>
  </si>
  <si>
    <t>445, Aundh Pune</t>
  </si>
  <si>
    <t>City School</t>
  </si>
  <si>
    <t>9982991179</t>
  </si>
  <si>
    <t>Morning</t>
  </si>
  <si>
    <t>2024-01-15</t>
  </si>
  <si>
    <t>2024-07-13</t>
  </si>
  <si>
    <t>R-102</t>
  </si>
  <si>
    <t>2024-04-18</t>
  </si>
  <si>
    <t>2024-04-12</t>
  </si>
  <si>
    <t>Bank Transfer</t>
  </si>
  <si>
    <t>Good</t>
  </si>
  <si>
    <t>Family function</t>
  </si>
  <si>
    <t>Yes</t>
  </si>
  <si>
    <t>2024-05-08</t>
  </si>
  <si>
    <t>2024-05-27</t>
  </si>
  <si>
    <t>Instagram Ad</t>
  </si>
  <si>
    <t>Switched institute</t>
  </si>
  <si>
    <t>AU-003</t>
  </si>
  <si>
    <t>Riya Joshi</t>
  </si>
  <si>
    <t>2006-06-27</t>
  </si>
  <si>
    <t>Other</t>
  </si>
  <si>
    <t>9847094337</t>
  </si>
  <si>
    <t>riya.joshi3@gmail.com</t>
  </si>
  <si>
    <t>723, Aundh Pune</t>
  </si>
  <si>
    <t>9967496922</t>
  </si>
  <si>
    <t>Crash Course</t>
  </si>
  <si>
    <t>Afternoon</t>
  </si>
  <si>
    <t>2024-01-22</t>
  </si>
  <si>
    <t>2024-07-20</t>
  </si>
  <si>
    <t>R-119</t>
  </si>
  <si>
    <t>Offline</t>
  </si>
  <si>
    <t>Biology</t>
  </si>
  <si>
    <t>Vikram Joshi</t>
  </si>
  <si>
    <t>2024-05-28</t>
  </si>
  <si>
    <t>2024-05-19</t>
  </si>
  <si>
    <t>Cash</t>
  </si>
  <si>
    <t>Sick leave</t>
  </si>
  <si>
    <t>2024-07-11</t>
  </si>
  <si>
    <t>2024-07-27</t>
  </si>
  <si>
    <t>Website</t>
  </si>
  <si>
    <t>Nidhi Shah</t>
  </si>
  <si>
    <t>AU-004</t>
  </si>
  <si>
    <t>Reyansh Joshi</t>
  </si>
  <si>
    <t>2006-08-11</t>
  </si>
  <si>
    <t>Male</t>
  </si>
  <si>
    <t>Kabir Patil</t>
  </si>
  <si>
    <t>9828538761</t>
  </si>
  <si>
    <t>reyansh.joshi4@gmail.com</t>
  </si>
  <si>
    <t>815, Aundh Pune</t>
  </si>
  <si>
    <t>Modern College</t>
  </si>
  <si>
    <t>9969518889</t>
  </si>
  <si>
    <t>2024-03-25</t>
  </si>
  <si>
    <t>2025-03-20</t>
  </si>
  <si>
    <t>R-109</t>
  </si>
  <si>
    <t>Mon-Wed-Fri</t>
  </si>
  <si>
    <t>Physics</t>
  </si>
  <si>
    <t>Anil Sharma</t>
  </si>
  <si>
    <t>2024-05-26</t>
  </si>
  <si>
    <t>2024-05-21</t>
  </si>
  <si>
    <t>2024-06-28</t>
  </si>
  <si>
    <t>2024-07-23</t>
  </si>
  <si>
    <t>Active</t>
  </si>
  <si>
    <t>AU-005</t>
  </si>
  <si>
    <t>Anaya Desai</t>
  </si>
  <si>
    <t>2005-05-12</t>
  </si>
  <si>
    <t>Vivaan Sharma</t>
  </si>
  <si>
    <t>9817741407</t>
  </si>
  <si>
    <t>anaya.desai5@gmail.com</t>
  </si>
  <si>
    <t>559, Aundh Pune</t>
  </si>
  <si>
    <t>9955609370</t>
  </si>
  <si>
    <t>2024-02-27</t>
  </si>
  <si>
    <t>2024-03-06</t>
  </si>
  <si>
    <t>2024-04-30</t>
  </si>
  <si>
    <t>2024-05-22</t>
  </si>
  <si>
    <t>Rahul Mehta</t>
  </si>
  <si>
    <t>AU-006</t>
  </si>
  <si>
    <t>Meera Desai</t>
  </si>
  <si>
    <t>2006-05-16</t>
  </si>
  <si>
    <t>Riya Patil</t>
  </si>
  <si>
    <t>9820367740</t>
  </si>
  <si>
    <t>meera.desai6@gmail.com</t>
  </si>
  <si>
    <t>368, Aundh Pune</t>
  </si>
  <si>
    <t>9952336944</t>
  </si>
  <si>
    <t>MHT-CET</t>
  </si>
  <si>
    <t>2024-03-12</t>
  </si>
  <si>
    <t>2024-06-10</t>
  </si>
  <si>
    <t>R-120</t>
  </si>
  <si>
    <t>2024-02-28</t>
  </si>
  <si>
    <t>2024-04-05</t>
  </si>
  <si>
    <t>2024-03-27</t>
  </si>
  <si>
    <t>2024-04-22</t>
  </si>
  <si>
    <t>Facebook Ad</t>
  </si>
  <si>
    <t>AU-007</t>
  </si>
  <si>
    <t>Ira Sharma</t>
  </si>
  <si>
    <t>2006-05-20</t>
  </si>
  <si>
    <t>Aarav Desai</t>
  </si>
  <si>
    <t>9827095765</t>
  </si>
  <si>
    <t>ira.sharma7@gmail.com</t>
  </si>
  <si>
    <t>318, Aundh Pune</t>
  </si>
  <si>
    <t>9953297386</t>
  </si>
  <si>
    <t>2024-01-28</t>
  </si>
  <si>
    <t>2024-07-26</t>
  </si>
  <si>
    <t>R-111</t>
  </si>
  <si>
    <t>2024-05-20</t>
  </si>
  <si>
    <t>2024-05-15</t>
  </si>
  <si>
    <t>UPI</t>
  </si>
  <si>
    <t>2024-08-09</t>
  </si>
  <si>
    <t>AU-008</t>
  </si>
  <si>
    <t>Meera Joshi</t>
  </si>
  <si>
    <t>2006-06-23</t>
  </si>
  <si>
    <t>Siya Sharma</t>
  </si>
  <si>
    <t>9822355416</t>
  </si>
  <si>
    <t>meera.joshi8@gmail.com</t>
  </si>
  <si>
    <t>589, Aundh Pune</t>
  </si>
  <si>
    <t>9995712675</t>
  </si>
  <si>
    <t>2024-03-22</t>
  </si>
  <si>
    <t>2024-06-20</t>
  </si>
  <si>
    <t>R-105</t>
  </si>
  <si>
    <t>Online</t>
  </si>
  <si>
    <t>Sneha Patil</t>
  </si>
  <si>
    <t>2024-03-15</t>
  </si>
  <si>
    <t>2024-03-14</t>
  </si>
  <si>
    <t>2024-04-08</t>
  </si>
  <si>
    <t>2024-04-21</t>
  </si>
  <si>
    <t>AU-009</t>
  </si>
  <si>
    <t>2006-05-21</t>
  </si>
  <si>
    <t>Anaya Joshi</t>
  </si>
  <si>
    <t>9888752606</t>
  </si>
  <si>
    <t>aarav.kumar9@gmail.com</t>
  </si>
  <si>
    <t>276, Aundh Pune</t>
  </si>
  <si>
    <t>9967525295</t>
  </si>
  <si>
    <t>2024-03-04</t>
  </si>
  <si>
    <t>2025-02-27</t>
  </si>
  <si>
    <t>Chemistry</t>
  </si>
  <si>
    <t>2024-03-01</t>
  </si>
  <si>
    <t>AU-010</t>
  </si>
  <si>
    <t>Vivaan Patil</t>
  </si>
  <si>
    <t>2006-04-24</t>
  </si>
  <si>
    <t>Reyansh Kumar</t>
  </si>
  <si>
    <t>9852635954</t>
  </si>
  <si>
    <t>vivaan.patil10@gmail.com</t>
  </si>
  <si>
    <t>189, Aundh Pune</t>
  </si>
  <si>
    <t>9951085984</t>
  </si>
  <si>
    <t>2024-03-16</t>
  </si>
  <si>
    <t>2024-06-14</t>
  </si>
  <si>
    <t>R-108</t>
  </si>
  <si>
    <t>English</t>
  </si>
  <si>
    <t>2024-06-07</t>
  </si>
  <si>
    <t>Needs Improvement</t>
  </si>
  <si>
    <t>2024-06-03</t>
  </si>
  <si>
    <t>AU-011</t>
  </si>
  <si>
    <t>2006-04-17</t>
  </si>
  <si>
    <t>9887840907</t>
  </si>
  <si>
    <t>riya.patil11@gmail.com</t>
  </si>
  <si>
    <t>792, Aundh Pune</t>
  </si>
  <si>
    <t>9932763392</t>
  </si>
  <si>
    <t>JEE</t>
  </si>
  <si>
    <t>2024-04-07</t>
  </si>
  <si>
    <t>2024-10-04</t>
  </si>
  <si>
    <t>R-110</t>
  </si>
  <si>
    <t>2024-02-15</t>
  </si>
  <si>
    <t>2024-02-08</t>
  </si>
  <si>
    <t>2024-03-10</t>
  </si>
  <si>
    <t>2024-03-31</t>
  </si>
  <si>
    <t>AU-012</t>
  </si>
  <si>
    <t>Ayaan Sharma</t>
  </si>
  <si>
    <t>2006-01-14</t>
  </si>
  <si>
    <t>Siya Patil</t>
  </si>
  <si>
    <t>9861968735</t>
  </si>
  <si>
    <t>ayaan.sharma12@gmail.com</t>
  </si>
  <si>
    <t>336, Aundh Pune</t>
  </si>
  <si>
    <t>9939854108</t>
  </si>
  <si>
    <t>2025-02-21</t>
  </si>
  <si>
    <t>R-112</t>
  </si>
  <si>
    <t>2024-02-06</t>
  </si>
  <si>
    <t>2024-02-03</t>
  </si>
  <si>
    <t>2024-03-03</t>
  </si>
  <si>
    <t>2024-03-13</t>
  </si>
  <si>
    <t>AU-013</t>
  </si>
  <si>
    <t>Meera Patil</t>
  </si>
  <si>
    <t>2005-12-01</t>
  </si>
  <si>
    <t>Aarav Patil</t>
  </si>
  <si>
    <t>9817700186</t>
  </si>
  <si>
    <t>meera.patil13@gmail.com</t>
  </si>
  <si>
    <t>9931778745</t>
  </si>
  <si>
    <t>2024-01-24</t>
  </si>
  <si>
    <t>2025-01-18</t>
  </si>
  <si>
    <t>Ravi Kumar</t>
  </si>
  <si>
    <t>2024-02-25</t>
  </si>
  <si>
    <t>2024-04-03</t>
  </si>
  <si>
    <t>Too far</t>
  </si>
  <si>
    <t>AU-014</t>
  </si>
  <si>
    <t>Vivaan Joshi</t>
  </si>
  <si>
    <t>2006-06-06</t>
  </si>
  <si>
    <t>9822011112</t>
  </si>
  <si>
    <t>vivaan.joshi14@gmail.com</t>
  </si>
  <si>
    <t>738, Aundh Pune</t>
  </si>
  <si>
    <t>9953143872</t>
  </si>
  <si>
    <t>2025-03-17</t>
  </si>
  <si>
    <t>R-114</t>
  </si>
  <si>
    <t>2024-04-06</t>
  </si>
  <si>
    <t>Walk-in</t>
  </si>
  <si>
    <t>AU-015</t>
  </si>
  <si>
    <t>2006-07-12</t>
  </si>
  <si>
    <t>9827032133</t>
  </si>
  <si>
    <t>aarav.patil15@gmail.com</t>
  </si>
  <si>
    <t>694, Aundh Pune</t>
  </si>
  <si>
    <t>9919617248</t>
  </si>
  <si>
    <t>NEET</t>
  </si>
  <si>
    <t>2024-01-23</t>
  </si>
  <si>
    <t>2024-07-21</t>
  </si>
  <si>
    <t>R-107</t>
  </si>
  <si>
    <t>2024-03-09</t>
  </si>
  <si>
    <t>AU-016</t>
  </si>
  <si>
    <t>2006-08-04</t>
  </si>
  <si>
    <t>9883268727</t>
  </si>
  <si>
    <t>anaya.joshi16@gmail.com</t>
  </si>
  <si>
    <t>245, Aundh Pune</t>
  </si>
  <si>
    <t>9982569341</t>
  </si>
  <si>
    <t>2024-01-08</t>
  </si>
  <si>
    <t>2024-04-13</t>
  </si>
  <si>
    <t>2024-04-11</t>
  </si>
  <si>
    <t>2024-05-13</t>
  </si>
  <si>
    <t>2024-05-30</t>
  </si>
  <si>
    <t>2024-06-25</t>
  </si>
  <si>
    <t>AU-017</t>
  </si>
  <si>
    <t>2005-06-15</t>
  </si>
  <si>
    <t>Anaya Kumar</t>
  </si>
  <si>
    <t>9810220839</t>
  </si>
  <si>
    <t>anaya.joshi17@gmail.com</t>
  </si>
  <si>
    <t>751, Aundh Pune</t>
  </si>
  <si>
    <t>9963948363</t>
  </si>
  <si>
    <t>2024-01-20</t>
  </si>
  <si>
    <t>2025-01-14</t>
  </si>
  <si>
    <t>R-104</t>
  </si>
  <si>
    <t>2024-02-24</t>
  </si>
  <si>
    <t>2024-03-26</t>
  </si>
  <si>
    <t>AU-018</t>
  </si>
  <si>
    <t>2005-05-10</t>
  </si>
  <si>
    <t>9864434821</t>
  </si>
  <si>
    <t>anaya.kumar18@gmail.com</t>
  </si>
  <si>
    <t>551, Aundh Pune</t>
  </si>
  <si>
    <t>9951130048</t>
  </si>
  <si>
    <t>2024-01-05</t>
  </si>
  <si>
    <t>2024-12-30</t>
  </si>
  <si>
    <t>R-101</t>
  </si>
  <si>
    <t>2024-03-05</t>
  </si>
  <si>
    <t>2024-04-17</t>
  </si>
  <si>
    <t>AU-019</t>
  </si>
  <si>
    <t>2006-02-07</t>
  </si>
  <si>
    <t>9888818798</t>
  </si>
  <si>
    <t>aarav.desai19@gmail.com</t>
  </si>
  <si>
    <t>894, Aundh Pune</t>
  </si>
  <si>
    <t>9941695896</t>
  </si>
  <si>
    <t>2024-04-27</t>
  </si>
  <si>
    <t>2024-04-26</t>
  </si>
  <si>
    <t>2024-07-03</t>
  </si>
  <si>
    <t>AU-020</t>
  </si>
  <si>
    <t>Ira Joshi</t>
  </si>
  <si>
    <t>2006-01-28</t>
  </si>
  <si>
    <t>9898616022</t>
  </si>
  <si>
    <t>ira.joshi20@gmail.com</t>
  </si>
  <si>
    <t>236, Aundh Pune</t>
  </si>
  <si>
    <t>9921755464</t>
  </si>
  <si>
    <t>2024-06-01</t>
  </si>
  <si>
    <t>2024-04-25</t>
  </si>
  <si>
    <t>2024-05-05</t>
  </si>
  <si>
    <t>AU-021</t>
  </si>
  <si>
    <t>2005-07-20</t>
  </si>
  <si>
    <t>Ira Desai</t>
  </si>
  <si>
    <t>9869774216</t>
  </si>
  <si>
    <t>aarav.kumar21@gmail.com</t>
  </si>
  <si>
    <t>513, Aundh Pune</t>
  </si>
  <si>
    <t>9919070144</t>
  </si>
  <si>
    <t>2024-02-21</t>
  </si>
  <si>
    <t>2024-03-02</t>
  </si>
  <si>
    <t>2024-05-04</t>
  </si>
  <si>
    <t>AU-022</t>
  </si>
  <si>
    <t>Ayaan Kumar</t>
  </si>
  <si>
    <t>2005-01-03</t>
  </si>
  <si>
    <t>9859987035</t>
  </si>
  <si>
    <t>ayaan.kumar22@gmail.com</t>
  </si>
  <si>
    <t>625, Aundh Pune</t>
  </si>
  <si>
    <t>9918907790</t>
  </si>
  <si>
    <t>2025-02-19</t>
  </si>
  <si>
    <t>R-106</t>
  </si>
  <si>
    <t>2024-03-11</t>
  </si>
  <si>
    <t>2024-05-10</t>
  </si>
  <si>
    <t>2024-06-09</t>
  </si>
  <si>
    <t>AU-023</t>
  </si>
  <si>
    <t>2005-08-20</t>
  </si>
  <si>
    <t>Aarav Joshi</t>
  </si>
  <si>
    <t>9851052997</t>
  </si>
  <si>
    <t>ayaan.kumar23@gmail.com</t>
  </si>
  <si>
    <t>540, Aundh Pune</t>
  </si>
  <si>
    <t>9989857993</t>
  </si>
  <si>
    <t>2024-03-23</t>
  </si>
  <si>
    <t>2024-09-19</t>
  </si>
  <si>
    <t>R-117</t>
  </si>
  <si>
    <t>2024-03-29</t>
  </si>
  <si>
    <t>2024-03-21</t>
  </si>
  <si>
    <t>2024-06-02</t>
  </si>
  <si>
    <t>AU-024</t>
  </si>
  <si>
    <t>Meera Sharma</t>
  </si>
  <si>
    <t>2006-02-20</t>
  </si>
  <si>
    <t>9871747241</t>
  </si>
  <si>
    <t>meera.sharma24@gmail.com</t>
  </si>
  <si>
    <t>209, Aundh Pune</t>
  </si>
  <si>
    <t>9937156335</t>
  </si>
  <si>
    <t>2024-02-19</t>
  </si>
  <si>
    <t>R-103</t>
  </si>
  <si>
    <t>2024-05-09</t>
  </si>
  <si>
    <t>2024-07-09</t>
  </si>
  <si>
    <t>2024-08-03</t>
  </si>
  <si>
    <t>AU-025</t>
  </si>
  <si>
    <t>2006-05-06</t>
  </si>
  <si>
    <t>Anaya Patil</t>
  </si>
  <si>
    <t>9850568987</t>
  </si>
  <si>
    <t>ira.kumar25@gmail.com</t>
  </si>
  <si>
    <t>628, Aundh Pune</t>
  </si>
  <si>
    <t>9972283041</t>
  </si>
  <si>
    <t>2024-06-21</t>
  </si>
  <si>
    <t>AU-026</t>
  </si>
  <si>
    <t>Kabir Joshi</t>
  </si>
  <si>
    <t>2005-10-12</t>
  </si>
  <si>
    <t>9839141596</t>
  </si>
  <si>
    <t>kabir.joshi26@gmail.com</t>
  </si>
  <si>
    <t>681, Aundh Pune</t>
  </si>
  <si>
    <t>9967762687</t>
  </si>
  <si>
    <t>2024-05-24</t>
  </si>
  <si>
    <t>2024-05-18</t>
  </si>
  <si>
    <t>2024-08-15</t>
  </si>
  <si>
    <t>AU-027</t>
  </si>
  <si>
    <t>Siya Desai</t>
  </si>
  <si>
    <t>2006-04-22</t>
  </si>
  <si>
    <t>Reyansh Desai</t>
  </si>
  <si>
    <t>9816439415</t>
  </si>
  <si>
    <t>siya.desai27@gmail.com</t>
  </si>
  <si>
    <t>969, Aundh Pune</t>
  </si>
  <si>
    <t>9925998150</t>
  </si>
  <si>
    <t>2024-02-02</t>
  </si>
  <si>
    <t>2024-07-31</t>
  </si>
  <si>
    <t>2024-04-15</t>
  </si>
  <si>
    <t>2024-06-04</t>
  </si>
  <si>
    <t>AU-028</t>
  </si>
  <si>
    <t>2006-06-28</t>
  </si>
  <si>
    <t>9814694076</t>
  </si>
  <si>
    <t>meera.joshi28@gmail.com</t>
  </si>
  <si>
    <t>113, Aundh Pune</t>
  </si>
  <si>
    <t>9969698577</t>
  </si>
  <si>
    <t>2024-01-11</t>
  </si>
  <si>
    <t>2025-01-05</t>
  </si>
  <si>
    <t>2024-02-11</t>
  </si>
  <si>
    <t>2024-02-04</t>
  </si>
  <si>
    <t>2024-05-01</t>
  </si>
  <si>
    <t>AU-029</t>
  </si>
  <si>
    <t>2006-08-02</t>
  </si>
  <si>
    <t>Kabir Kumar</t>
  </si>
  <si>
    <t>9863730140</t>
  </si>
  <si>
    <t>anaya.patil29@gmail.com</t>
  </si>
  <si>
    <t>207, Aundh Pune</t>
  </si>
  <si>
    <t>9981383868</t>
  </si>
  <si>
    <t>2025-01-16</t>
  </si>
  <si>
    <t>2024-02-17</t>
  </si>
  <si>
    <t>2024-04-23</t>
  </si>
  <si>
    <t>AU-030</t>
  </si>
  <si>
    <t>2005-04-23</t>
  </si>
  <si>
    <t>9895766321</t>
  </si>
  <si>
    <t>aarav.desai30@gmail.com</t>
  </si>
  <si>
    <t>870, Aundh Pune</t>
  </si>
  <si>
    <t>9975991785</t>
  </si>
  <si>
    <t>2024-01-06</t>
  </si>
  <si>
    <t>AU-031</t>
  </si>
  <si>
    <t>2005-04-09</t>
  </si>
  <si>
    <t>Ira Patil</t>
  </si>
  <si>
    <t>9885303785</t>
  </si>
  <si>
    <t>vivaan.joshi31@gmail.com</t>
  </si>
  <si>
    <t>460, Aundh Pune</t>
  </si>
  <si>
    <t>9990322781</t>
  </si>
  <si>
    <t>2025-02-09</t>
  </si>
  <si>
    <t>2024-02-14</t>
  </si>
  <si>
    <t>2024-03-18</t>
  </si>
  <si>
    <t>2024-03-30</t>
  </si>
  <si>
    <t>AU-032</t>
  </si>
  <si>
    <t>2005-12-18</t>
  </si>
  <si>
    <t>9856821801</t>
  </si>
  <si>
    <t>riya.joshi32@gmail.com</t>
  </si>
  <si>
    <t>130, Aundh Pune</t>
  </si>
  <si>
    <t>9967122501</t>
  </si>
  <si>
    <t>2024-04-04</t>
  </si>
  <si>
    <t>2024-04-02</t>
  </si>
  <si>
    <t>2024-05-02</t>
  </si>
  <si>
    <t>AU-033</t>
  </si>
  <si>
    <t>2005-06-09</t>
  </si>
  <si>
    <t>9845974289</t>
  </si>
  <si>
    <t>kabir.patil33@gmail.com</t>
  </si>
  <si>
    <t>395, Aundh Pune</t>
  </si>
  <si>
    <t>9934055823</t>
  </si>
  <si>
    <t>2024-02-01</t>
  </si>
  <si>
    <t>AU-034</t>
  </si>
  <si>
    <t>Ayaan Joshi</t>
  </si>
  <si>
    <t>2005-08-05</t>
  </si>
  <si>
    <t>9858291899</t>
  </si>
  <si>
    <t>ayaan.joshi34@gmail.com</t>
  </si>
  <si>
    <t>776, Aundh Pune</t>
  </si>
  <si>
    <t>9924142404</t>
  </si>
  <si>
    <t>2024-02-13</t>
  </si>
  <si>
    <t>2025-02-07</t>
  </si>
  <si>
    <t>2024-07-01</t>
  </si>
  <si>
    <t>AU-035</t>
  </si>
  <si>
    <t>2006-03-25</t>
  </si>
  <si>
    <t>9861555077</t>
  </si>
  <si>
    <t>ira.sharma35@gmail.com</t>
  </si>
  <si>
    <t>102, Aundh Pune</t>
  </si>
  <si>
    <t>9954095883</t>
  </si>
  <si>
    <t>2024-02-22</t>
  </si>
  <si>
    <t>2024-04-09</t>
  </si>
  <si>
    <t>AU-036</t>
  </si>
  <si>
    <t>2005-05-06</t>
  </si>
  <si>
    <t>9898471683</t>
  </si>
  <si>
    <t>reyansh.desai36@gmail.com</t>
  </si>
  <si>
    <t>555, Aundh Pune</t>
  </si>
  <si>
    <t>9928312643</t>
  </si>
  <si>
    <t>2024-06-19</t>
  </si>
  <si>
    <t>2024-07-08</t>
  </si>
  <si>
    <t>AU-037</t>
  </si>
  <si>
    <t>2005-01-08</t>
  </si>
  <si>
    <t>9846464786</t>
  </si>
  <si>
    <t>ayaan.sharma37@gmail.com</t>
  </si>
  <si>
    <t>471, Aundh Pune</t>
  </si>
  <si>
    <t>9970462439</t>
  </si>
  <si>
    <t>2024-05-25</t>
  </si>
  <si>
    <t>AU-038</t>
  </si>
  <si>
    <t>2006-06-21</t>
  </si>
  <si>
    <t>9822514259</t>
  </si>
  <si>
    <t>ayaan.sharma38@gmail.com</t>
  </si>
  <si>
    <t>217, Aundh Pune</t>
  </si>
  <si>
    <t>9960114318</t>
  </si>
  <si>
    <t>R-115</t>
  </si>
  <si>
    <t>2024-07-25</t>
  </si>
  <si>
    <t>AU-039</t>
  </si>
  <si>
    <t>Anaya Sharma</t>
  </si>
  <si>
    <t>2005-06-08</t>
  </si>
  <si>
    <t>9832258449</t>
  </si>
  <si>
    <t>anaya.sharma39@gmail.com</t>
  </si>
  <si>
    <t>746, Aundh Pune</t>
  </si>
  <si>
    <t>9990085925</t>
  </si>
  <si>
    <t>2024-01-12</t>
  </si>
  <si>
    <t>2025-01-06</t>
  </si>
  <si>
    <t>2024-02-26</t>
  </si>
  <si>
    <t>AU-040</t>
  </si>
  <si>
    <t>2005-04-11</t>
  </si>
  <si>
    <t>9837559454</t>
  </si>
  <si>
    <t>anaya.kumar40@gmail.com</t>
  </si>
  <si>
    <t>169, Aundh Pune</t>
  </si>
  <si>
    <t>9945760111</t>
  </si>
  <si>
    <t>AU-041</t>
  </si>
  <si>
    <t>2005-02-27</t>
  </si>
  <si>
    <t>Ayaan Patil</t>
  </si>
  <si>
    <t>9858081282</t>
  </si>
  <si>
    <t>anaya.desai41@gmail.com</t>
  </si>
  <si>
    <t>300, Aundh Pune</t>
  </si>
  <si>
    <t>9921181487</t>
  </si>
  <si>
    <t>2024-06-16</t>
  </si>
  <si>
    <t>R-116</t>
  </si>
  <si>
    <t>2024-03-28</t>
  </si>
  <si>
    <t>AU-042</t>
  </si>
  <si>
    <t>2005-01-20</t>
  </si>
  <si>
    <t>Kabir Sharma</t>
  </si>
  <si>
    <t>9829100757</t>
  </si>
  <si>
    <t>ira.patil42@gmail.com</t>
  </si>
  <si>
    <t>450, Aundh Pune</t>
  </si>
  <si>
    <t>9993814827</t>
  </si>
  <si>
    <t>R-118</t>
  </si>
  <si>
    <t>2024-08-08</t>
  </si>
  <si>
    <t>AU-043</t>
  </si>
  <si>
    <t>2005-05-30</t>
  </si>
  <si>
    <t>9827525677</t>
  </si>
  <si>
    <t>ayaan.joshi43@gmail.com</t>
  </si>
  <si>
    <t>9973127650</t>
  </si>
  <si>
    <t>2024-04-19</t>
  </si>
  <si>
    <t>2024-04-29</t>
  </si>
  <si>
    <t>AU-044</t>
  </si>
  <si>
    <t>Kabir Desai</t>
  </si>
  <si>
    <t>2005-09-24</t>
  </si>
  <si>
    <t>9861278670</t>
  </si>
  <si>
    <t>kabir.desai44@gmail.com</t>
  </si>
  <si>
    <t>9926091051</t>
  </si>
  <si>
    <t>2024-05-31</t>
  </si>
  <si>
    <t>AU-045</t>
  </si>
  <si>
    <t>2005-08-15</t>
  </si>
  <si>
    <t>9837045769</t>
  </si>
  <si>
    <t>riya.joshi45@gmail.com</t>
  </si>
  <si>
    <t>968, Aundh Pune</t>
  </si>
  <si>
    <t>9990130107</t>
  </si>
  <si>
    <t>2024-01-30</t>
  </si>
  <si>
    <t>2024-07-28</t>
  </si>
  <si>
    <t>2024-02-18</t>
  </si>
  <si>
    <t>AU-046</t>
  </si>
  <si>
    <t>2005-08-03</t>
  </si>
  <si>
    <t>9888106798</t>
  </si>
  <si>
    <t>anaya.patil46@gmail.com</t>
  </si>
  <si>
    <t>269, Aundh Pune</t>
  </si>
  <si>
    <t>9919781136</t>
  </si>
  <si>
    <t>2025-02-24</t>
  </si>
  <si>
    <t>AU-047</t>
  </si>
  <si>
    <t>2005-11-14</t>
  </si>
  <si>
    <t>9886591060</t>
  </si>
  <si>
    <t>riya.patil47@gmail.com</t>
  </si>
  <si>
    <t>9978630854</t>
  </si>
  <si>
    <t>2024-10-01</t>
  </si>
  <si>
    <t>2024-02-12</t>
  </si>
  <si>
    <t>2024-04-01</t>
  </si>
  <si>
    <t>AU-048</t>
  </si>
  <si>
    <t>2006-07-29</t>
  </si>
  <si>
    <t>9895313505</t>
  </si>
  <si>
    <t>aarav.kumar48@gmail.com</t>
  </si>
  <si>
    <t>937, Aundh Pune</t>
  </si>
  <si>
    <t>9912189875</t>
  </si>
  <si>
    <t>2024-05-06</t>
  </si>
  <si>
    <t>AU-049</t>
  </si>
  <si>
    <t>2005-02-08</t>
  </si>
  <si>
    <t>9824864102</t>
  </si>
  <si>
    <t>reyansh.desai49@gmail.com</t>
  </si>
  <si>
    <t>228, Aundh Pune</t>
  </si>
  <si>
    <t>9996736981</t>
  </si>
  <si>
    <t>AU-050</t>
  </si>
  <si>
    <t>Aarav Sharma</t>
  </si>
  <si>
    <t>9892575113</t>
  </si>
  <si>
    <t>aarav.sharma50@gmail.com</t>
  </si>
  <si>
    <t>160, Aundh Pune</t>
  </si>
  <si>
    <t>9949987246</t>
  </si>
  <si>
    <t>KO-001</t>
  </si>
  <si>
    <t>2006-01-24</t>
  </si>
  <si>
    <t>9820516378</t>
  </si>
  <si>
    <t>ira.sharma1@gmail.com</t>
  </si>
  <si>
    <t>135, Kondhwa Pune</t>
  </si>
  <si>
    <t>9960630401</t>
  </si>
  <si>
    <t>2024-06-27</t>
  </si>
  <si>
    <t>KO-002</t>
  </si>
  <si>
    <t>2006-03-17</t>
  </si>
  <si>
    <t>9878822987</t>
  </si>
  <si>
    <t>ayaan.kumar2@gmail.com</t>
  </si>
  <si>
    <t>854, Kondhwa Pune</t>
  </si>
  <si>
    <t>9923127405</t>
  </si>
  <si>
    <t>2024-01-21</t>
  </si>
  <si>
    <t>2024-07-19</t>
  </si>
  <si>
    <t>2024-05-12</t>
  </si>
  <si>
    <t>KO-003</t>
  </si>
  <si>
    <t>2005-12-11</t>
  </si>
  <si>
    <t>9883855337</t>
  </si>
  <si>
    <t>kabir.desai3@gmail.com</t>
  </si>
  <si>
    <t>938, Kondhwa Pune</t>
  </si>
  <si>
    <t>9937531545</t>
  </si>
  <si>
    <t>2024-02-09</t>
  </si>
  <si>
    <t>2024-08-07</t>
  </si>
  <si>
    <t>KO-004</t>
  </si>
  <si>
    <t>Meera Kumar</t>
  </si>
  <si>
    <t>2005-01-23</t>
  </si>
  <si>
    <t>9813465115</t>
  </si>
  <si>
    <t>meera.kumar4@gmail.com</t>
  </si>
  <si>
    <t>632, Kondhwa Pune</t>
  </si>
  <si>
    <t>9962086928</t>
  </si>
  <si>
    <t>2024-01-31</t>
  </si>
  <si>
    <t>2025-01-25</t>
  </si>
  <si>
    <t>KO-005</t>
  </si>
  <si>
    <t>2005-12-08</t>
  </si>
  <si>
    <t>9840533164</t>
  </si>
  <si>
    <t>ira.kumar5@gmail.com</t>
  </si>
  <si>
    <t>108, Kondhwa Pune</t>
  </si>
  <si>
    <t>9956227162</t>
  </si>
  <si>
    <t>2025-02-03</t>
  </si>
  <si>
    <t>2024-05-23</t>
  </si>
  <si>
    <t>KO-006</t>
  </si>
  <si>
    <t>2006-03-01</t>
  </si>
  <si>
    <t>9866100060</t>
  </si>
  <si>
    <t>kabir.joshi6@gmail.com</t>
  </si>
  <si>
    <t>773, Kondhwa Pune</t>
  </si>
  <si>
    <t>9919487688</t>
  </si>
  <si>
    <t>2024-08-12</t>
  </si>
  <si>
    <t>2024-03-19</t>
  </si>
  <si>
    <t>KO-007</t>
  </si>
  <si>
    <t>2005-12-31</t>
  </si>
  <si>
    <t>9847917980</t>
  </si>
  <si>
    <t>aarav.joshi7@gmail.com</t>
  </si>
  <si>
    <t>436, Kondhwa Pune</t>
  </si>
  <si>
    <t>9918783761</t>
  </si>
  <si>
    <t>KO-008</t>
  </si>
  <si>
    <t>2005-01-05</t>
  </si>
  <si>
    <t>9815707436</t>
  </si>
  <si>
    <t>aarav.patil8@gmail.com</t>
  </si>
  <si>
    <t>568, Kondhwa Pune</t>
  </si>
  <si>
    <t>9974940573</t>
  </si>
  <si>
    <t>2024-08-13</t>
  </si>
  <si>
    <t>KO-009</t>
  </si>
  <si>
    <t>2006-03-08</t>
  </si>
  <si>
    <t>9811132840</t>
  </si>
  <si>
    <t>ira.patil9@gmail.com</t>
  </si>
  <si>
    <t>341, Kondhwa Pune</t>
  </si>
  <si>
    <t>9931242109</t>
  </si>
  <si>
    <t>2024-06-30</t>
  </si>
  <si>
    <t>2024-06-24</t>
  </si>
  <si>
    <t>KO-010</t>
  </si>
  <si>
    <t>2005-04-30</t>
  </si>
  <si>
    <t>9838109437</t>
  </si>
  <si>
    <t>reyansh.joshi10@gmail.com</t>
  </si>
  <si>
    <t>491, Kondhwa Pune</t>
  </si>
  <si>
    <t>9915632601</t>
  </si>
  <si>
    <t>2024-01-09</t>
  </si>
  <si>
    <t>2024-07-07</t>
  </si>
  <si>
    <t>2024-05-16</t>
  </si>
  <si>
    <t>2024-07-12</t>
  </si>
  <si>
    <t>KO-011</t>
  </si>
  <si>
    <t>2005-04-07</t>
  </si>
  <si>
    <t>Riya Sharma</t>
  </si>
  <si>
    <t>9897268494</t>
  </si>
  <si>
    <t>anaya.kumar11@gmail.com</t>
  </si>
  <si>
    <t>505, Kondhwa Pune</t>
  </si>
  <si>
    <t>9947129787</t>
  </si>
  <si>
    <t>2024-01-27</t>
  </si>
  <si>
    <t>2024-03-17</t>
  </si>
  <si>
    <t>KO-012</t>
  </si>
  <si>
    <t>2006-02-27</t>
  </si>
  <si>
    <t>9842419650</t>
  </si>
  <si>
    <t>kabir.kumar12@gmail.com</t>
  </si>
  <si>
    <t>752, Kondhwa Pune</t>
  </si>
  <si>
    <t>9971241216</t>
  </si>
  <si>
    <t>2025-03-18</t>
  </si>
  <si>
    <t>2024-02-20</t>
  </si>
  <si>
    <t>KO-013</t>
  </si>
  <si>
    <t>2006-05-08</t>
  </si>
  <si>
    <t>9888835695</t>
  </si>
  <si>
    <t>ayaan.joshi13@gmail.com</t>
  </si>
  <si>
    <t>483, Kondhwa Pune</t>
  </si>
  <si>
    <t>9994913704</t>
  </si>
  <si>
    <t>2024-08-24</t>
  </si>
  <si>
    <t>KO-014</t>
  </si>
  <si>
    <t>2006-04-06</t>
  </si>
  <si>
    <t>9838598523</t>
  </si>
  <si>
    <t>918, Kondhwa Pune</t>
  </si>
  <si>
    <t>9991414065</t>
  </si>
  <si>
    <t>2024-05-03</t>
  </si>
  <si>
    <t>2024-06-29</t>
  </si>
  <si>
    <t>2024-07-17</t>
  </si>
  <si>
    <t>2024-08-04</t>
  </si>
  <si>
    <t>KO-015</t>
  </si>
  <si>
    <t>2005-11-12</t>
  </si>
  <si>
    <t>9813103166</t>
  </si>
  <si>
    <t>ira.sharma15@gmail.com</t>
  </si>
  <si>
    <t>765, Kondhwa Pune</t>
  </si>
  <si>
    <t>9957663747</t>
  </si>
  <si>
    <t>KO-016</t>
  </si>
  <si>
    <t>2006-03-14</t>
  </si>
  <si>
    <t>9882431812</t>
  </si>
  <si>
    <t>aarav.joshi16@gmail.com</t>
  </si>
  <si>
    <t>659, Kondhwa Pune</t>
  </si>
  <si>
    <t>9950609040</t>
  </si>
  <si>
    <t>2025-01-24</t>
  </si>
  <si>
    <t>KO-017</t>
  </si>
  <si>
    <t>2006-04-01</t>
  </si>
  <si>
    <t>9837640512</t>
  </si>
  <si>
    <t>ira.sharma17@gmail.com</t>
  </si>
  <si>
    <t>109, Kondhwa Pune</t>
  </si>
  <si>
    <t>9983413708</t>
  </si>
  <si>
    <t>2024-06-06</t>
  </si>
  <si>
    <t>2024-06-26</t>
  </si>
  <si>
    <t>KO-018</t>
  </si>
  <si>
    <t>2005-03-18</t>
  </si>
  <si>
    <t>9892994642</t>
  </si>
  <si>
    <t>ayaan.kumar18@gmail.com</t>
  </si>
  <si>
    <t>142, Kondhwa Pune</t>
  </si>
  <si>
    <t>9984736836</t>
  </si>
  <si>
    <t>2024-09-22</t>
  </si>
  <si>
    <t>KO-019</t>
  </si>
  <si>
    <t>2006-03-23</t>
  </si>
  <si>
    <t>9885650439</t>
  </si>
  <si>
    <t>anaya.patil19@gmail.com</t>
  </si>
  <si>
    <t>996, Kondhwa Pune</t>
  </si>
  <si>
    <t>9965936930</t>
  </si>
  <si>
    <t>2024-04-28</t>
  </si>
  <si>
    <t>2024-05-17</t>
  </si>
  <si>
    <t>KO-020</t>
  </si>
  <si>
    <t>2005-12-27</t>
  </si>
  <si>
    <t>9865292883</t>
  </si>
  <si>
    <t>siya.sharma20@gmail.com</t>
  </si>
  <si>
    <t>225, Kondhwa Pune</t>
  </si>
  <si>
    <t>9960976895</t>
  </si>
  <si>
    <t>2024-08-23</t>
  </si>
  <si>
    <t>KO-021</t>
  </si>
  <si>
    <t>2005-03-08</t>
  </si>
  <si>
    <t>9845914193</t>
  </si>
  <si>
    <t>siya.desai21@gmail.com</t>
  </si>
  <si>
    <t>729, Kondhwa Pune</t>
  </si>
  <si>
    <t>9921504638</t>
  </si>
  <si>
    <t>2024-01-01</t>
  </si>
  <si>
    <t>2024-06-18</t>
  </si>
  <si>
    <t>KO-022</t>
  </si>
  <si>
    <t>2006-04-12</t>
  </si>
  <si>
    <t>9823040733</t>
  </si>
  <si>
    <t>vivaan.joshi22@gmail.com</t>
  </si>
  <si>
    <t>201, Kondhwa Pune</t>
  </si>
  <si>
    <t>9960370931</t>
  </si>
  <si>
    <t>2024-01-18</t>
  </si>
  <si>
    <t>2024-07-16</t>
  </si>
  <si>
    <t>KO-023</t>
  </si>
  <si>
    <t>2006-06-13</t>
  </si>
  <si>
    <t>9844764313</t>
  </si>
  <si>
    <t>ayaan.patil23@gmail.com</t>
  </si>
  <si>
    <t>9928374323</t>
  </si>
  <si>
    <t>2024-06-13</t>
  </si>
  <si>
    <t>2024-07-18</t>
  </si>
  <si>
    <t>KO-024</t>
  </si>
  <si>
    <t>2006-04-20</t>
  </si>
  <si>
    <t>Riya Kumar</t>
  </si>
  <si>
    <t>9890541119</t>
  </si>
  <si>
    <t>reyansh.kumar24@gmail.com</t>
  </si>
  <si>
    <t>254, Kondhwa Pune</t>
  </si>
  <si>
    <t>9949929000</t>
  </si>
  <si>
    <t>KO-025</t>
  </si>
  <si>
    <t>2005-11-07</t>
  </si>
  <si>
    <t>9846010242</t>
  </si>
  <si>
    <t>ayaan.patil25@gmail.com</t>
  </si>
  <si>
    <t>867, Kondhwa Pune</t>
  </si>
  <si>
    <t>9964086262</t>
  </si>
  <si>
    <t>2024-01-17</t>
  </si>
  <si>
    <t>2024-07-15</t>
  </si>
  <si>
    <t>KO-026</t>
  </si>
  <si>
    <t>2005-04-26</t>
  </si>
  <si>
    <t>9879412684</t>
  </si>
  <si>
    <t>kabir.kumar26@gmail.com</t>
  </si>
  <si>
    <t>844, Kondhwa Pune</t>
  </si>
  <si>
    <t>9992220005</t>
  </si>
  <si>
    <t>KO-027</t>
  </si>
  <si>
    <t>2005-12-05</t>
  </si>
  <si>
    <t>9883455453</t>
  </si>
  <si>
    <t>meera.joshi27@gmail.com</t>
  </si>
  <si>
    <t>379, Kondhwa Pune</t>
  </si>
  <si>
    <t>9992250304</t>
  </si>
  <si>
    <t>2024-01-07</t>
  </si>
  <si>
    <t>2024-07-05</t>
  </si>
  <si>
    <t>KO-028</t>
  </si>
  <si>
    <t>2005-11-09</t>
  </si>
  <si>
    <t>9849208957</t>
  </si>
  <si>
    <t>ayaan.desai28@gmail.com</t>
  </si>
  <si>
    <t>730, Kondhwa Pune</t>
  </si>
  <si>
    <t>9925812635</t>
  </si>
  <si>
    <t>2024-02-07</t>
  </si>
  <si>
    <t>2024-08-05</t>
  </si>
  <si>
    <t>KO-029</t>
  </si>
  <si>
    <t>2005-09-15</t>
  </si>
  <si>
    <t>9813572188</t>
  </si>
  <si>
    <t>vivaan.sharma29@gmail.com</t>
  </si>
  <si>
    <t>457, Kondhwa Pune</t>
  </si>
  <si>
    <t>9946975129</t>
  </si>
  <si>
    <t>2025-04-01</t>
  </si>
  <si>
    <t>KO-030</t>
  </si>
  <si>
    <t>2006-03-22</t>
  </si>
  <si>
    <t>9818710767</t>
  </si>
  <si>
    <t>kabir.desai30@gmail.com</t>
  </si>
  <si>
    <t>173, Kondhwa Pune</t>
  </si>
  <si>
    <t>9942556025</t>
  </si>
  <si>
    <t>KO-031</t>
  </si>
  <si>
    <t>2006-08-15</t>
  </si>
  <si>
    <t>9823091195</t>
  </si>
  <si>
    <t>kabir.sharma31@gmail.com</t>
  </si>
  <si>
    <t>368, Kondhwa Pune</t>
  </si>
  <si>
    <t>9998579774</t>
  </si>
  <si>
    <t>2024-07-30</t>
  </si>
  <si>
    <t>2024-03-07</t>
  </si>
  <si>
    <t>KO-032</t>
  </si>
  <si>
    <t>2005-08-24</t>
  </si>
  <si>
    <t>9823163100</t>
  </si>
  <si>
    <t>aarav.joshi32@gmail.com</t>
  </si>
  <si>
    <t>570, Kondhwa Pune</t>
  </si>
  <si>
    <t>9951456148</t>
  </si>
  <si>
    <t>KO-033</t>
  </si>
  <si>
    <t>2005-02-14</t>
  </si>
  <si>
    <t>9845663219</t>
  </si>
  <si>
    <t>ayaan.desai33@gmail.com</t>
  </si>
  <si>
    <t>770, Kondhwa Pune</t>
  </si>
  <si>
    <t>9995810839</t>
  </si>
  <si>
    <t>2025-01-01</t>
  </si>
  <si>
    <t>2024-07-04</t>
  </si>
  <si>
    <t>KO-034</t>
  </si>
  <si>
    <t>2006-03-18</t>
  </si>
  <si>
    <t>9813245131</t>
  </si>
  <si>
    <t>ayaan.patil34@gmail.com</t>
  </si>
  <si>
    <t>189, Kondhwa Pune</t>
  </si>
  <si>
    <t>9989493829</t>
  </si>
  <si>
    <t>2025-02-22</t>
  </si>
  <si>
    <t>2024-06-12</t>
  </si>
  <si>
    <t>KO-035</t>
  </si>
  <si>
    <t>2005-11-22</t>
  </si>
  <si>
    <t>9880297576</t>
  </si>
  <si>
    <t>kabir.desai35@gmail.com</t>
  </si>
  <si>
    <t>677, Kondhwa Pune</t>
  </si>
  <si>
    <t>9975351562</t>
  </si>
  <si>
    <t>2024-04-10</t>
  </si>
  <si>
    <t>2025-04-05</t>
  </si>
  <si>
    <t>KO-036</t>
  </si>
  <si>
    <t>2006-03-16</t>
  </si>
  <si>
    <t>9878481588</t>
  </si>
  <si>
    <t>ira.desai36@gmail.com</t>
  </si>
  <si>
    <t>461, Kondhwa Pune</t>
  </si>
  <si>
    <t>9987589202</t>
  </si>
  <si>
    <t>2025-04-03</t>
  </si>
  <si>
    <t>2024-04-16</t>
  </si>
  <si>
    <t>KO-037</t>
  </si>
  <si>
    <t>Reyansh Patil</t>
  </si>
  <si>
    <t>2005-06-16</t>
  </si>
  <si>
    <t>9854656175</t>
  </si>
  <si>
    <t>reyansh.patil37@gmail.com</t>
  </si>
  <si>
    <t>285, Kondhwa Pune</t>
  </si>
  <si>
    <t>9936768133</t>
  </si>
  <si>
    <t>2024-05-29</t>
  </si>
  <si>
    <t>KO-038</t>
  </si>
  <si>
    <t>2005-01-10</t>
  </si>
  <si>
    <t>9891926020</t>
  </si>
  <si>
    <t>ira.desai38@gmail.com</t>
  </si>
  <si>
    <t>224, Kondhwa Pune</t>
  </si>
  <si>
    <t>9918248808</t>
  </si>
  <si>
    <t>2024-09-02</t>
  </si>
  <si>
    <t>KO-039</t>
  </si>
  <si>
    <t>9843471255</t>
  </si>
  <si>
    <t>kabir.joshi39@gmail.com</t>
  </si>
  <si>
    <t>277, Kondhwa Pune</t>
  </si>
  <si>
    <t>9946705761</t>
  </si>
  <si>
    <t>KO-040</t>
  </si>
  <si>
    <t>2005-12-19</t>
  </si>
  <si>
    <t>Siya Kumar</t>
  </si>
  <si>
    <t>9828907536</t>
  </si>
  <si>
    <t>kabir.patil40@gmail.com</t>
  </si>
  <si>
    <t>980, Kondhwa Pune</t>
  </si>
  <si>
    <t>9997928087</t>
  </si>
  <si>
    <t>KO-041</t>
  </si>
  <si>
    <t>2005-08-09</t>
  </si>
  <si>
    <t>9858231993</t>
  </si>
  <si>
    <t>ira.sharma41@gmail.com</t>
  </si>
  <si>
    <t>917, Kondhwa Pune</t>
  </si>
  <si>
    <t>9923659135</t>
  </si>
  <si>
    <t>2024-06-23</t>
  </si>
  <si>
    <t>KO-042</t>
  </si>
  <si>
    <t>2005-09-09</t>
  </si>
  <si>
    <t>9837196046</t>
  </si>
  <si>
    <t>anaya.kumar42@gmail.com</t>
  </si>
  <si>
    <t>321, Kondhwa Pune</t>
  </si>
  <si>
    <t>9982250950</t>
  </si>
  <si>
    <t>KO-043</t>
  </si>
  <si>
    <t>9823703480</t>
  </si>
  <si>
    <t>ira.joshi43@gmail.com</t>
  </si>
  <si>
    <t>647, Kondhwa Pune</t>
  </si>
  <si>
    <t>9915335627</t>
  </si>
  <si>
    <t>2024-04-24</t>
  </si>
  <si>
    <t>KO-044</t>
  </si>
  <si>
    <t>2006-02-05</t>
  </si>
  <si>
    <t>Vivaan Desai</t>
  </si>
  <si>
    <t>9894231097</t>
  </si>
  <si>
    <t>vivaan.patil44@gmail.com</t>
  </si>
  <si>
    <t>793, Kondhwa Pune</t>
  </si>
  <si>
    <t>9921053780</t>
  </si>
  <si>
    <t>2024-02-10</t>
  </si>
  <si>
    <t>KO-045</t>
  </si>
  <si>
    <t>2005-01-13</t>
  </si>
  <si>
    <t>9816422378</t>
  </si>
  <si>
    <t>vivaan.sharma45@gmail.com</t>
  </si>
  <si>
    <t>907, Kondhwa Pune</t>
  </si>
  <si>
    <t>9939556989</t>
  </si>
  <si>
    <t>KO-046</t>
  </si>
  <si>
    <t>2005-08-13</t>
  </si>
  <si>
    <t>9814668143</t>
  </si>
  <si>
    <t>meera.sharma46@gmail.com</t>
  </si>
  <si>
    <t>241, Kondhwa Pune</t>
  </si>
  <si>
    <t>9963154851</t>
  </si>
  <si>
    <t>2024-07-06</t>
  </si>
  <si>
    <t>KO-047</t>
  </si>
  <si>
    <t>2005-11-29</t>
  </si>
  <si>
    <t>9814859663</t>
  </si>
  <si>
    <t>ayaan.kumar47@gmail.com</t>
  </si>
  <si>
    <t>845, Kondhwa Pune</t>
  </si>
  <si>
    <t>9993595692</t>
  </si>
  <si>
    <t>2024-05-07</t>
  </si>
  <si>
    <t>KO-048</t>
  </si>
  <si>
    <t>9899304911</t>
  </si>
  <si>
    <t>riya.joshi48@gmail.com</t>
  </si>
  <si>
    <t>9954627171</t>
  </si>
  <si>
    <t>2024-08-26</t>
  </si>
  <si>
    <t>KO-049</t>
  </si>
  <si>
    <t>Siya Joshi</t>
  </si>
  <si>
    <t>2006-02-02</t>
  </si>
  <si>
    <t>9816712949</t>
  </si>
  <si>
    <t>siya.joshi49@gmail.com</t>
  </si>
  <si>
    <t>422, Kondhwa Pune</t>
  </si>
  <si>
    <t>9925701113</t>
  </si>
  <si>
    <t>KO-050</t>
  </si>
  <si>
    <t>2006-05-19</t>
  </si>
  <si>
    <t>9882021369</t>
  </si>
  <si>
    <t>ayaan.desai50@gmail.com</t>
  </si>
  <si>
    <t>626, Kondhwa Pune</t>
  </si>
  <si>
    <t>9985755500</t>
  </si>
  <si>
    <t>2024-10-05</t>
  </si>
  <si>
    <t>SI-001</t>
  </si>
  <si>
    <t>9819654233</t>
  </si>
  <si>
    <t>siya.kumar1@gmail.com</t>
  </si>
  <si>
    <t>407, Sinhgad Road Pune</t>
  </si>
  <si>
    <t>9999303760</t>
  </si>
  <si>
    <t>2025-03-30</t>
  </si>
  <si>
    <t>2024-08-10</t>
  </si>
  <si>
    <t>SI-002</t>
  </si>
  <si>
    <t>2005-03-22</t>
  </si>
  <si>
    <t>9854519975</t>
  </si>
  <si>
    <t>vivaan.patil2@gmail.com</t>
  </si>
  <si>
    <t>786, Sinhgad Road Pune</t>
  </si>
  <si>
    <t>9949087556</t>
  </si>
  <si>
    <t>2024-03-24</t>
  </si>
  <si>
    <t>SI-003</t>
  </si>
  <si>
    <t>2005-08-07</t>
  </si>
  <si>
    <t>9872020824</t>
  </si>
  <si>
    <t>ayaan.joshi3@gmail.com</t>
  </si>
  <si>
    <t>493, Sinhgad Road Pune</t>
  </si>
  <si>
    <t>9963885419</t>
  </si>
  <si>
    <t>SI-004</t>
  </si>
  <si>
    <t>2005-03-03</t>
  </si>
  <si>
    <t>9851138162</t>
  </si>
  <si>
    <t>siya.kumar4@gmail.com</t>
  </si>
  <si>
    <t>169, Sinhgad Road Pune</t>
  </si>
  <si>
    <t>9957484013</t>
  </si>
  <si>
    <t>2025-03-02</t>
  </si>
  <si>
    <t>SI-005</t>
  </si>
  <si>
    <t>2005-08-08</t>
  </si>
  <si>
    <t>9850327880</t>
  </si>
  <si>
    <t>anaya.joshi5@gmail.com</t>
  </si>
  <si>
    <t>190, Sinhgad Road Pune</t>
  </si>
  <si>
    <t>9991330187</t>
  </si>
  <si>
    <t>2024-02-05</t>
  </si>
  <si>
    <t>SI-006</t>
  </si>
  <si>
    <t>9887574602</t>
  </si>
  <si>
    <t>ira.sharma6@gmail.com</t>
  </si>
  <si>
    <t>277, Sinhgad Road Pune</t>
  </si>
  <si>
    <t>9991783332</t>
  </si>
  <si>
    <t>SI-007</t>
  </si>
  <si>
    <t>9815738463</t>
  </si>
  <si>
    <t>kabir.desai7@gmail.com</t>
  </si>
  <si>
    <t>707, Sinhgad Road Pune</t>
  </si>
  <si>
    <t>9943419625</t>
  </si>
  <si>
    <t>2024-08-01</t>
  </si>
  <si>
    <t>SI-008</t>
  </si>
  <si>
    <t>2005-02-26</t>
  </si>
  <si>
    <t>9852477396</t>
  </si>
  <si>
    <t>anaya.desai8@gmail.com</t>
  </si>
  <si>
    <t>460, Sinhgad Road Pune</t>
  </si>
  <si>
    <t>9990416999</t>
  </si>
  <si>
    <t>SI-009</t>
  </si>
  <si>
    <t>2005-09-19</t>
  </si>
  <si>
    <t>9896135314</t>
  </si>
  <si>
    <t>meera.patil9@gmail.com</t>
  </si>
  <si>
    <t>136, Sinhgad Road Pune</t>
  </si>
  <si>
    <t>9973692562</t>
  </si>
  <si>
    <t>2025-03-04</t>
  </si>
  <si>
    <t>SI-010</t>
  </si>
  <si>
    <t>2005-11-05</t>
  </si>
  <si>
    <t>9834393252</t>
  </si>
  <si>
    <t>kabir.desai10@gmail.com</t>
  </si>
  <si>
    <t>861, Sinhgad Road Pune</t>
  </si>
  <si>
    <t>9945326500</t>
  </si>
  <si>
    <t>SI-011</t>
  </si>
  <si>
    <t>2005-07-01</t>
  </si>
  <si>
    <t>9839053404</t>
  </si>
  <si>
    <t>aarav.desai11@gmail.com</t>
  </si>
  <si>
    <t>673, Sinhgad Road Pune</t>
  </si>
  <si>
    <t>9941218608</t>
  </si>
  <si>
    <t>SI-012</t>
  </si>
  <si>
    <t>2005-10-23</t>
  </si>
  <si>
    <t>9838303938</t>
  </si>
  <si>
    <t>siya.kumar12@gmail.com</t>
  </si>
  <si>
    <t>345, Sinhgad Road Pune</t>
  </si>
  <si>
    <t>9921786051</t>
  </si>
  <si>
    <t>2024-01-25</t>
  </si>
  <si>
    <t>SI-013</t>
  </si>
  <si>
    <t>2006-08-10</t>
  </si>
  <si>
    <t>9847100440</t>
  </si>
  <si>
    <t>siya.desai13@gmail.com</t>
  </si>
  <si>
    <t>281, Sinhgad Road Pune</t>
  </si>
  <si>
    <t>9982344379</t>
  </si>
  <si>
    <t>2024-05-11</t>
  </si>
  <si>
    <t>SI-014</t>
  </si>
  <si>
    <t>2006-01-10</t>
  </si>
  <si>
    <t>9879498422</t>
  </si>
  <si>
    <t>riya.kumar14@gmail.com</t>
  </si>
  <si>
    <t>176, Sinhgad Road Pune</t>
  </si>
  <si>
    <t>9981354153</t>
  </si>
  <si>
    <t>2024-02-16</t>
  </si>
  <si>
    <t>SI-015</t>
  </si>
  <si>
    <t>2005-02-15</t>
  </si>
  <si>
    <t>9817355503</t>
  </si>
  <si>
    <t>vivaan.patil15@gmail.com</t>
  </si>
  <si>
    <t>995, Sinhgad Road Pune</t>
  </si>
  <si>
    <t>9972990272</t>
  </si>
  <si>
    <t>SI-016</t>
  </si>
  <si>
    <t>2005-09-25</t>
  </si>
  <si>
    <t>9872576983</t>
  </si>
  <si>
    <t>riya.sharma16@gmail.com</t>
  </si>
  <si>
    <t>511, Sinhgad Road Pune</t>
  </si>
  <si>
    <t>9993892032</t>
  </si>
  <si>
    <t>2024-01-16</t>
  </si>
  <si>
    <t>2025-01-10</t>
  </si>
  <si>
    <t>SI-017</t>
  </si>
  <si>
    <t>2006-06-20</t>
  </si>
  <si>
    <t>9811483857</t>
  </si>
  <si>
    <t>riya.joshi17@gmail.com</t>
  </si>
  <si>
    <t>535, Sinhgad Road Pune</t>
  </si>
  <si>
    <t>9928049448</t>
  </si>
  <si>
    <t>2024-08-18</t>
  </si>
  <si>
    <t>2024-02-29</t>
  </si>
  <si>
    <t>SI-018</t>
  </si>
  <si>
    <t>2005-02-23</t>
  </si>
  <si>
    <t>9854940389</t>
  </si>
  <si>
    <t>riya.sharma18@gmail.com</t>
  </si>
  <si>
    <t>287, Sinhgad Road Pune</t>
  </si>
  <si>
    <t>9979388748</t>
  </si>
  <si>
    <t>2024-07-22</t>
  </si>
  <si>
    <t>SI-019</t>
  </si>
  <si>
    <t>2005-03-27</t>
  </si>
  <si>
    <t>9891366851</t>
  </si>
  <si>
    <t>siya.desai19@gmail.com</t>
  </si>
  <si>
    <t>909, Sinhgad Road Pune</t>
  </si>
  <si>
    <t>9998802648</t>
  </si>
  <si>
    <t>SI-020</t>
  </si>
  <si>
    <t>2006-03-09</t>
  </si>
  <si>
    <t>9875164592</t>
  </si>
  <si>
    <t>anaya.kumar20@gmail.com</t>
  </si>
  <si>
    <t>381, Sinhgad Road Pune</t>
  </si>
  <si>
    <t>9989749038</t>
  </si>
  <si>
    <t>2024-09-24</t>
  </si>
  <si>
    <t>2024-07-14</t>
  </si>
  <si>
    <t>SI-021</t>
  </si>
  <si>
    <t>9836858086</t>
  </si>
  <si>
    <t>vivaan.desai21@gmail.com</t>
  </si>
  <si>
    <t>618, Sinhgad Road Pune</t>
  </si>
  <si>
    <t>9980356746</t>
  </si>
  <si>
    <t>SI-022</t>
  </si>
  <si>
    <t>2005-01-15</t>
  </si>
  <si>
    <t>9846521612</t>
  </si>
  <si>
    <t>ayaan.sharma22@gmail.com</t>
  </si>
  <si>
    <t>201, Sinhgad Road Pune</t>
  </si>
  <si>
    <t>9943011585</t>
  </si>
  <si>
    <t>2025-02-14</t>
  </si>
  <si>
    <t>SI-023</t>
  </si>
  <si>
    <t>2005-10-13</t>
  </si>
  <si>
    <t>9892653069</t>
  </si>
  <si>
    <t>reyansh.sharma23@gmail.com</t>
  </si>
  <si>
    <t>222, Sinhgad Road Pune</t>
  </si>
  <si>
    <t>9988244718</t>
  </si>
  <si>
    <t>2025-03-10</t>
  </si>
  <si>
    <t>SI-024</t>
  </si>
  <si>
    <t>2005-06-05</t>
  </si>
  <si>
    <t>9873972535</t>
  </si>
  <si>
    <t>kabir.kumar24@gmail.com</t>
  </si>
  <si>
    <t>740, Sinhgad Road Pune</t>
  </si>
  <si>
    <t>9942170665</t>
  </si>
  <si>
    <t>2025-03-11</t>
  </si>
  <si>
    <t>SI-025</t>
  </si>
  <si>
    <t>2006-02-01</t>
  </si>
  <si>
    <t>9883872941</t>
  </si>
  <si>
    <t>siya.kumar25@gmail.com</t>
  </si>
  <si>
    <t>795, Sinhgad Road Pune</t>
  </si>
  <si>
    <t>9986053889</t>
  </si>
  <si>
    <t>SI-026</t>
  </si>
  <si>
    <t>9875749873</t>
  </si>
  <si>
    <t>aarav.joshi26@gmail.com</t>
  </si>
  <si>
    <t>278, Sinhgad Road Pune</t>
  </si>
  <si>
    <t>9993477182</t>
  </si>
  <si>
    <t>SI-027</t>
  </si>
  <si>
    <t>2006-02-25</t>
  </si>
  <si>
    <t>9838552856</t>
  </si>
  <si>
    <t>aarav.joshi27@gmail.com</t>
  </si>
  <si>
    <t>730, Sinhgad Road Pune</t>
  </si>
  <si>
    <t>9977347763</t>
  </si>
  <si>
    <t>2024-06-17</t>
  </si>
  <si>
    <t>SI-028</t>
  </si>
  <si>
    <t>9849681112</t>
  </si>
  <si>
    <t>453, Sinhgad Road Pune</t>
  </si>
  <si>
    <t>9915629583</t>
  </si>
  <si>
    <t>SI-029</t>
  </si>
  <si>
    <t>9881568974</t>
  </si>
  <si>
    <t>reyansh.joshi29@gmail.com</t>
  </si>
  <si>
    <t>531, Sinhgad Road Pune</t>
  </si>
  <si>
    <t>9938361320</t>
  </si>
  <si>
    <t>2025-02-08</t>
  </si>
  <si>
    <t>2024-06-15</t>
  </si>
  <si>
    <t>SI-030</t>
  </si>
  <si>
    <t>9868422199</t>
  </si>
  <si>
    <t>ayaan.kumar30@gmail.com</t>
  </si>
  <si>
    <t>787, Sinhgad Road Pune</t>
  </si>
  <si>
    <t>9926436167</t>
  </si>
  <si>
    <t>2025-02-26</t>
  </si>
  <si>
    <t>SI-031</t>
  </si>
  <si>
    <t>2006-05-25</t>
  </si>
  <si>
    <t>9813983071</t>
  </si>
  <si>
    <t>meera.desai31@gmail.com</t>
  </si>
  <si>
    <t>794, Sinhgad Road Pune</t>
  </si>
  <si>
    <t>9926352900</t>
  </si>
  <si>
    <t>2025-01-19</t>
  </si>
  <si>
    <t>SI-032</t>
  </si>
  <si>
    <t>9818703069</t>
  </si>
  <si>
    <t>siya.sharma32@gmail.com</t>
  </si>
  <si>
    <t>793, Sinhgad Road Pune</t>
  </si>
  <si>
    <t>9950378746</t>
  </si>
  <si>
    <t>SI-033</t>
  </si>
  <si>
    <t>2005-07-24</t>
  </si>
  <si>
    <t>9879935616</t>
  </si>
  <si>
    <t>998, Sinhgad Road Pune</t>
  </si>
  <si>
    <t>9982505697</t>
  </si>
  <si>
    <t>SI-034</t>
  </si>
  <si>
    <t>2005-01-01</t>
  </si>
  <si>
    <t>9821163374</t>
  </si>
  <si>
    <t>siya.desai34@gmail.com</t>
  </si>
  <si>
    <t>625, Sinhgad Road Pune</t>
  </si>
  <si>
    <t>9942439828</t>
  </si>
  <si>
    <t>2025-02-13</t>
  </si>
  <si>
    <t>SI-035</t>
  </si>
  <si>
    <t>2006-05-28</t>
  </si>
  <si>
    <t>9840661080</t>
  </si>
  <si>
    <t>kabir.kumar35@gmail.com</t>
  </si>
  <si>
    <t>952, Sinhgad Road Pune</t>
  </si>
  <si>
    <t>9983943710</t>
  </si>
  <si>
    <t>SI-036</t>
  </si>
  <si>
    <t>2005-07-19</t>
  </si>
  <si>
    <t>9895702574</t>
  </si>
  <si>
    <t>ira.sharma36@gmail.com</t>
  </si>
  <si>
    <t>741, Sinhgad Road Pune</t>
  </si>
  <si>
    <t>9922636786</t>
  </si>
  <si>
    <t>SI-037</t>
  </si>
  <si>
    <t>9845928801</t>
  </si>
  <si>
    <t>aarav.joshi37@gmail.com</t>
  </si>
  <si>
    <t>559, Sinhgad Road Pune</t>
  </si>
  <si>
    <t>9971190395</t>
  </si>
  <si>
    <t>SI-038</t>
  </si>
  <si>
    <t>2005-07-17</t>
  </si>
  <si>
    <t>9829480294</t>
  </si>
  <si>
    <t>siya.sharma38@gmail.com</t>
  </si>
  <si>
    <t>986, Sinhgad Road Pune</t>
  </si>
  <si>
    <t>9916241293</t>
  </si>
  <si>
    <t>2024-06-11</t>
  </si>
  <si>
    <t>SI-039</t>
  </si>
  <si>
    <t>2005-04-15</t>
  </si>
  <si>
    <t>9895986712</t>
  </si>
  <si>
    <t>vivaan.sharma39@gmail.com</t>
  </si>
  <si>
    <t>179, Sinhgad Road Pune</t>
  </si>
  <si>
    <t>9996824429</t>
  </si>
  <si>
    <t>2025-02-01</t>
  </si>
  <si>
    <t>SI-040</t>
  </si>
  <si>
    <t>2006-08-05</t>
  </si>
  <si>
    <t>9880158300</t>
  </si>
  <si>
    <t>meera.joshi40@gmail.com</t>
  </si>
  <si>
    <t>843, Sinhgad Road Pune</t>
  </si>
  <si>
    <t>9981045816</t>
  </si>
  <si>
    <t>SI-041</t>
  </si>
  <si>
    <t>2006-05-10</t>
  </si>
  <si>
    <t>9838625591</t>
  </si>
  <si>
    <t>ira.desai41@gmail.com</t>
  </si>
  <si>
    <t>521, Sinhgad Road Pune</t>
  </si>
  <si>
    <t>9921280412</t>
  </si>
  <si>
    <t>2024-03-20</t>
  </si>
  <si>
    <t>2025-03-15</t>
  </si>
  <si>
    <t>SI-042</t>
  </si>
  <si>
    <t>2005-09-29</t>
  </si>
  <si>
    <t>9859937883</t>
  </si>
  <si>
    <t>vivaan.desai42@gmail.com</t>
  </si>
  <si>
    <t>496, Sinhgad Road Pune</t>
  </si>
  <si>
    <t>9959361671</t>
  </si>
  <si>
    <t>2024-01-04</t>
  </si>
  <si>
    <t>2024-07-02</t>
  </si>
  <si>
    <t>SI-043</t>
  </si>
  <si>
    <t>2005-08-25</t>
  </si>
  <si>
    <t>9898380604</t>
  </si>
  <si>
    <t>anaya.sharma43@gmail.com</t>
  </si>
  <si>
    <t>713, Sinhgad Road Pune</t>
  </si>
  <si>
    <t>9938497756</t>
  </si>
  <si>
    <t>SI-044</t>
  </si>
  <si>
    <t>2005-02-05</t>
  </si>
  <si>
    <t>9876858734</t>
  </si>
  <si>
    <t>anaya.patil44@gmail.com</t>
  </si>
  <si>
    <t>438, Sinhgad Road Pune</t>
  </si>
  <si>
    <t>9958492255</t>
  </si>
  <si>
    <t>SI-045</t>
  </si>
  <si>
    <t>2005-12-23</t>
  </si>
  <si>
    <t>9822986704</t>
  </si>
  <si>
    <t>vivaan.patil45@gmail.com</t>
  </si>
  <si>
    <t>688, Sinhgad Road Pune</t>
  </si>
  <si>
    <t>9992810929</t>
  </si>
  <si>
    <t>2024-08-22</t>
  </si>
  <si>
    <t>SI-046</t>
  </si>
  <si>
    <t>2005-08-28</t>
  </si>
  <si>
    <t>9867862734</t>
  </si>
  <si>
    <t>siya.patil46@gmail.com</t>
  </si>
  <si>
    <t>346, Sinhgad Road Pune</t>
  </si>
  <si>
    <t>9971158242</t>
  </si>
  <si>
    <t>2024-08-25</t>
  </si>
  <si>
    <t>2024-06-22</t>
  </si>
  <si>
    <t>SI-047</t>
  </si>
  <si>
    <t>2005-07-25</t>
  </si>
  <si>
    <t>9887479501</t>
  </si>
  <si>
    <t>anaya.patil47@gmail.com</t>
  </si>
  <si>
    <t>375, Sinhgad Road Pune</t>
  </si>
  <si>
    <t>9953470221</t>
  </si>
  <si>
    <t>SI-048</t>
  </si>
  <si>
    <t>9844838147</t>
  </si>
  <si>
    <t>siya.patil48@gmail.com</t>
  </si>
  <si>
    <t>238, Sinhgad Road Pune</t>
  </si>
  <si>
    <t>9945988992</t>
  </si>
  <si>
    <t>SI-049</t>
  </si>
  <si>
    <t>2005-11-26</t>
  </si>
  <si>
    <t>9833907258</t>
  </si>
  <si>
    <t>vivaan.joshi49@gmail.com</t>
  </si>
  <si>
    <t>424, Sinhgad Road Pune</t>
  </si>
  <si>
    <t>9976878761</t>
  </si>
  <si>
    <t>2024-09-18</t>
  </si>
  <si>
    <t>SI-050</t>
  </si>
  <si>
    <t>2006-03-07</t>
  </si>
  <si>
    <t>9875795441</t>
  </si>
  <si>
    <t>siya.joshi50@gmail.com</t>
  </si>
  <si>
    <t>957, Sinhgad Road Pune</t>
  </si>
  <si>
    <t>9935263536</t>
  </si>
  <si>
    <t>2024-02-23</t>
  </si>
  <si>
    <t>Grand Total</t>
  </si>
  <si>
    <t>Performance</t>
  </si>
  <si>
    <r>
      <t>Retention Risk</t>
    </r>
    <r>
      <rPr>
        <sz val="11"/>
        <color theme="1"/>
        <rFont val="Calibri"/>
        <family val="2"/>
        <scheme val="minor"/>
      </rPr>
      <t xml:space="preserve"> (based on Dropout status &amp; feedback)</t>
    </r>
  </si>
  <si>
    <t>Row Labels</t>
  </si>
  <si>
    <t>Improvement Rate</t>
  </si>
  <si>
    <t>First test marks</t>
  </si>
  <si>
    <t>Latest test marks</t>
  </si>
  <si>
    <t>Payment Timeliness</t>
  </si>
  <si>
    <t>Aundh Attendance</t>
  </si>
  <si>
    <t>Kondhwa Attendance</t>
  </si>
  <si>
    <t>Sinhgad Road Attendance</t>
  </si>
  <si>
    <t>aarav sharma</t>
  </si>
  <si>
    <t>daksh sharma</t>
  </si>
  <si>
    <t>Student Name [Aundh]</t>
  </si>
  <si>
    <t>Attendance [Aundh]</t>
  </si>
  <si>
    <t>Student Name [Kondhwa]</t>
  </si>
  <si>
    <t>Attendance [Kondhwa]</t>
  </si>
  <si>
    <t>Student Name [Sinhgad_Road]</t>
  </si>
  <si>
    <t>Attendance [Sinhgad_Road]</t>
  </si>
  <si>
    <t>manish sisodia</t>
  </si>
  <si>
    <t>disen Patil</t>
  </si>
  <si>
    <t>arya sharma</t>
  </si>
  <si>
    <t>bhavya desai</t>
  </si>
  <si>
    <t>sarthak sharma</t>
  </si>
  <si>
    <t>shubham pawar</t>
  </si>
  <si>
    <t>pratik more</t>
  </si>
  <si>
    <t>pratik kumar</t>
  </si>
  <si>
    <t>ayra sharma</t>
  </si>
  <si>
    <t>ram sharma</t>
  </si>
  <si>
    <t>prem patil</t>
  </si>
  <si>
    <t>ria joshi</t>
  </si>
  <si>
    <t>ananya dixit</t>
  </si>
  <si>
    <t>dev neeraj</t>
  </si>
  <si>
    <t>kabir jain</t>
  </si>
  <si>
    <t>arya joshi</t>
  </si>
  <si>
    <t>meera jain</t>
  </si>
  <si>
    <t>100% Attendance [Aundh]</t>
  </si>
  <si>
    <t>100% Attendance [Kondhwa]</t>
  </si>
  <si>
    <t>100% Attendance [Sinhgad Road]</t>
  </si>
  <si>
    <t>Count of 100% Attendance [Aundh]</t>
  </si>
  <si>
    <t>Count of 100% Attendance [Kondhwa]</t>
  </si>
  <si>
    <t>Count of 100% Attendance [Sinhgad Road]</t>
  </si>
  <si>
    <t>Atharva Deshmukh</t>
  </si>
  <si>
    <t>Vivaan Kulkarni</t>
  </si>
  <si>
    <t>Siddharth Joshi</t>
  </si>
  <si>
    <t>Ishaan Chavan</t>
  </si>
  <si>
    <t>Anay Shinde</t>
  </si>
  <si>
    <t>Omkar Bhosale</t>
  </si>
  <si>
    <t>Rudra Gaikwad</t>
  </si>
  <si>
    <t>Vedant Jadhav</t>
  </si>
  <si>
    <t>Tejas Pawar</t>
  </si>
  <si>
    <t>Hriday Limaye</t>
  </si>
  <si>
    <t>Aryan Apte</t>
  </si>
  <si>
    <t>Kunal Godbole</t>
  </si>
  <si>
    <t>Pranav Gadgil</t>
  </si>
  <si>
    <t>Saurabh Ranade</t>
  </si>
  <si>
    <t>Samarth Gokhale</t>
  </si>
  <si>
    <t>Madhav Bapat</t>
  </si>
  <si>
    <t>Aaditya Kar</t>
  </si>
  <si>
    <t>Aditya Kadam</t>
  </si>
  <si>
    <t>Aniket Jadhav</t>
  </si>
  <si>
    <t>Atharva Gaikwad</t>
  </si>
  <si>
    <t>Chinmay Deo</t>
  </si>
  <si>
    <t>Digvijay Mohite</t>
  </si>
  <si>
    <t>Durvesh Raut</t>
  </si>
  <si>
    <t>Gandhar Kulkarni</t>
  </si>
  <si>
    <t>Hrishikesh Gokhale</t>
  </si>
  <si>
    <t>Jayant Apte</t>
  </si>
  <si>
    <t>Kedar Deshpande</t>
  </si>
  <si>
    <t>Mandar Patwardhan</t>
  </si>
  <si>
    <t>Ninad Sardesai</t>
  </si>
  <si>
    <t>Prathamesh Kulkarni</t>
  </si>
  <si>
    <t>Rahul Shinde</t>
  </si>
  <si>
    <t>Ritesh Surve</t>
  </si>
  <si>
    <t>Sanket Kanade</t>
  </si>
  <si>
    <t>Shantanu Phadke</t>
  </si>
  <si>
    <t>Shreyas Dixit</t>
  </si>
  <si>
    <t>aryan patil</t>
  </si>
  <si>
    <t>D.A.V. Public School</t>
  </si>
  <si>
    <t>City International School</t>
  </si>
  <si>
    <t>Spicer Higher Secondary School</t>
  </si>
  <si>
    <t>Vidyanchal School</t>
  </si>
  <si>
    <t>Pearl Drop School</t>
  </si>
  <si>
    <t>Vibgyor High School</t>
  </si>
  <si>
    <t>Sinhgad Spring Dale School</t>
  </si>
  <si>
    <t>DSK School</t>
  </si>
  <si>
    <t>Branch</t>
  </si>
  <si>
    <t>atul apts, aundh, 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</si>
</sst>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2" borderId="2" applyNumberFormat="0" applyAlignment="0" applyProtection="0"/>
  </cellStyleXfs>
  <cellXfs count="9">
    <xf numFmtId="0" fontId="0" fillId="0" borderId="0" xfId="0"/>
    <xf numFmtId="0" fontId="0" fillId="0" borderId="0" xfId="0" pivotButton="1"/>
    <xf numFmtId="0" fontId="1" fillId="0" borderId="0" xfId="0" applyFont="1"/>
    <xf numFmtId="0" fontId="0" fillId="0" borderId="0" xfId="0" applyAlignment="1">
      <alignment horizontal="left"/>
    </xf>
    <xf numFmtId="164" fontId="0" fillId="0" borderId="0" xfId="0" applyNumberFormat="1"/>
    <xf numFmtId="0" fontId="2" fillId="0" borderId="1" xfId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3" fillId="2" borderId="2" xfId="2"/>
  </cellXfs>
  <cellStyles count="3">
    <cellStyle name="Heading 1" xfId="1" builtinId="16"/>
    <cellStyle name="Normal" xfId="0" builtinId="0"/>
    <cellStyle name="Output" xfId="2" builtinId="2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[Coaching_Institute_Pune_Detailed (1).xlsx]Pivot Table!PivotTable11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Table'!$B$2</c:f>
              <c:strCache>
                <c:ptCount val="1"/>
                <c:pt idx="0">
                  <c:v>Count of 100% Attendance [Aundh]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'Pivot Table'!$A$3:$A$15</c:f>
              <c:multiLvlStrCache>
                <c:ptCount val="4"/>
                <c:lvl>
                  <c:pt idx="0">
                    <c:v>daksh sharma</c:v>
                  </c:pt>
                  <c:pt idx="1">
                    <c:v>prem patil</c:v>
                  </c:pt>
                  <c:pt idx="2">
                    <c:v>Ayaan Joshi</c:v>
                  </c:pt>
                  <c:pt idx="3">
                    <c:v>Siya Kumar</c:v>
                  </c:pt>
                </c:lvl>
                <c:lvl>
                  <c:pt idx="0">
                    <c:v>Meera Kumar</c:v>
                  </c:pt>
                  <c:pt idx="1">
                    <c:v>Ira Kumar</c:v>
                  </c:pt>
                  <c:pt idx="2">
                    <c:v>Gandhar Kulkarni</c:v>
                  </c:pt>
                  <c:pt idx="3">
                    <c:v>Hrishikesh Gokhale</c:v>
                  </c:pt>
                </c:lvl>
                <c:lvl>
                  <c:pt idx="0">
                    <c:v>Aarav Patil</c:v>
                  </c:pt>
                  <c:pt idx="1">
                    <c:v>Atharva Deshmukh</c:v>
                  </c:pt>
                  <c:pt idx="2">
                    <c:v>aryan patil</c:v>
                  </c:pt>
                  <c:pt idx="3">
                    <c:v>Vedant Jadhav</c:v>
                  </c:pt>
                </c:lvl>
              </c:multiLvlStrCache>
            </c:multiLvlStrRef>
          </c:cat>
          <c:val>
            <c:numRef>
              <c:f>'Pivot Table'!$B$3:$B$15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FFA-4669-BFB0-A39CA7B88100}"/>
            </c:ext>
          </c:extLst>
        </c:ser>
        <c:ser>
          <c:idx val="1"/>
          <c:order val="1"/>
          <c:tx>
            <c:strRef>
              <c:f>'Pivot Table'!$C$2</c:f>
              <c:strCache>
                <c:ptCount val="1"/>
                <c:pt idx="0">
                  <c:v>Count of 100% Attendance [Kondhwa]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'Pivot Table'!$A$3:$A$15</c:f>
              <c:multiLvlStrCache>
                <c:ptCount val="4"/>
                <c:lvl>
                  <c:pt idx="0">
                    <c:v>daksh sharma</c:v>
                  </c:pt>
                  <c:pt idx="1">
                    <c:v>prem patil</c:v>
                  </c:pt>
                  <c:pt idx="2">
                    <c:v>Ayaan Joshi</c:v>
                  </c:pt>
                  <c:pt idx="3">
                    <c:v>Siya Kumar</c:v>
                  </c:pt>
                </c:lvl>
                <c:lvl>
                  <c:pt idx="0">
                    <c:v>Meera Kumar</c:v>
                  </c:pt>
                  <c:pt idx="1">
                    <c:v>Ira Kumar</c:v>
                  </c:pt>
                  <c:pt idx="2">
                    <c:v>Gandhar Kulkarni</c:v>
                  </c:pt>
                  <c:pt idx="3">
                    <c:v>Hrishikesh Gokhale</c:v>
                  </c:pt>
                </c:lvl>
                <c:lvl>
                  <c:pt idx="0">
                    <c:v>Aarav Patil</c:v>
                  </c:pt>
                  <c:pt idx="1">
                    <c:v>Atharva Deshmukh</c:v>
                  </c:pt>
                  <c:pt idx="2">
                    <c:v>aryan patil</c:v>
                  </c:pt>
                  <c:pt idx="3">
                    <c:v>Vedant Jadhav</c:v>
                  </c:pt>
                </c:lvl>
              </c:multiLvlStrCache>
            </c:multiLvlStrRef>
          </c:cat>
          <c:val>
            <c:numRef>
              <c:f>'Pivot Table'!$C$3:$C$15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7FFA-4669-BFB0-A39CA7B88100}"/>
            </c:ext>
          </c:extLst>
        </c:ser>
        <c:ser>
          <c:idx val="2"/>
          <c:order val="2"/>
          <c:tx>
            <c:strRef>
              <c:f>'Pivot Table'!$D$2</c:f>
              <c:strCache>
                <c:ptCount val="1"/>
                <c:pt idx="0">
                  <c:v>Count of 100% Attendance [Sinhgad Road]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'Pivot Table'!$A$3:$A$15</c:f>
              <c:multiLvlStrCache>
                <c:ptCount val="4"/>
                <c:lvl>
                  <c:pt idx="0">
                    <c:v>daksh sharma</c:v>
                  </c:pt>
                  <c:pt idx="1">
                    <c:v>prem patil</c:v>
                  </c:pt>
                  <c:pt idx="2">
                    <c:v>Ayaan Joshi</c:v>
                  </c:pt>
                  <c:pt idx="3">
                    <c:v>Siya Kumar</c:v>
                  </c:pt>
                </c:lvl>
                <c:lvl>
                  <c:pt idx="0">
                    <c:v>Meera Kumar</c:v>
                  </c:pt>
                  <c:pt idx="1">
                    <c:v>Ira Kumar</c:v>
                  </c:pt>
                  <c:pt idx="2">
                    <c:v>Gandhar Kulkarni</c:v>
                  </c:pt>
                  <c:pt idx="3">
                    <c:v>Hrishikesh Gokhale</c:v>
                  </c:pt>
                </c:lvl>
                <c:lvl>
                  <c:pt idx="0">
                    <c:v>Aarav Patil</c:v>
                  </c:pt>
                  <c:pt idx="1">
                    <c:v>Atharva Deshmukh</c:v>
                  </c:pt>
                  <c:pt idx="2">
                    <c:v>aryan patil</c:v>
                  </c:pt>
                  <c:pt idx="3">
                    <c:v>Vedant Jadhav</c:v>
                  </c:pt>
                </c:lvl>
              </c:multiLvlStrCache>
            </c:multiLvlStrRef>
          </c:cat>
          <c:val>
            <c:numRef>
              <c:f>'Pivot Table'!$D$3:$D$15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7FFA-4669-BFB0-A39CA7B88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83691408"/>
        <c:axId val="683665488"/>
      </c:barChart>
      <c:catAx>
        <c:axId val="683691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65488"/>
        <c:crosses val="autoZero"/>
        <c:auto val="1"/>
        <c:lblAlgn val="ctr"/>
        <c:lblOffset val="100"/>
        <c:noMultiLvlLbl val="0"/>
      </c:catAx>
      <c:valAx>
        <c:axId val="68366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3691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22</xdr:row>
      <xdr:rowOff>19050</xdr:rowOff>
    </xdr:from>
    <xdr:to>
      <xdr:col>11</xdr:col>
      <xdr:colOff>361949</xdr:colOff>
      <xdr:row>50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BCE862-FA33-1117-3F77-41A66A629B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ome PC" refreshedDate="45856.814064351849" createdVersion="8" refreshedVersion="8" minRefreshableVersion="3" recordCount="49" xr:uid="{26307369-FF60-4729-9A9B-4B2E4323B935}">
  <cacheSource type="worksheet">
    <worksheetSource ref="A2:I51" sheet="Combined attendance"/>
  </cacheSource>
  <cacheFields count="9">
    <cacheField name="Student Name [Aundh]" numFmtId="0">
      <sharedItems/>
    </cacheField>
    <cacheField name="Attendance [Aundh]" numFmtId="0">
      <sharedItems containsSemiMixedTypes="0" containsString="0" containsNumber="1" containsInteger="1" minValue="32" maxValue="100"/>
    </cacheField>
    <cacheField name="100% Attendance [Aundh]" numFmtId="0">
      <sharedItems containsBlank="1" count="7">
        <s v="Aarav Patil"/>
        <s v="Atharva Deshmukh"/>
        <s v="aryan patil"/>
        <s v="Vedant Jadhav"/>
        <m/>
        <s v="Ira Sharma" u="1"/>
        <s v="Aarav Kumar" u="1"/>
      </sharedItems>
    </cacheField>
    <cacheField name="Student Name [Kondhwa]" numFmtId="0">
      <sharedItems/>
    </cacheField>
    <cacheField name="Attendance [Kondhwa]" numFmtId="0">
      <sharedItems containsSemiMixedTypes="0" containsString="0" containsNumber="1" containsInteger="1" minValue="28" maxValue="100"/>
    </cacheField>
    <cacheField name="100% Attendance [Kondhwa]" numFmtId="0">
      <sharedItems containsBlank="1" count="8">
        <s v="Meera Kumar"/>
        <s v="Ira Kumar"/>
        <s v="Gandhar Kulkarni"/>
        <s v="Hrishikesh Gokhale"/>
        <s v="Kabir Kumar"/>
        <s v="Reyansh Patil"/>
        <m/>
        <s v="Ira Sharma" u="1"/>
      </sharedItems>
    </cacheField>
    <cacheField name="Student Name [Sinhgad_Road]" numFmtId="0">
      <sharedItems/>
    </cacheField>
    <cacheField name="Attendance [Sinhgad_Road]" numFmtId="0">
      <sharedItems containsSemiMixedTypes="0" containsString="0" containsNumber="1" containsInteger="1" minValue="27" maxValue="100"/>
    </cacheField>
    <cacheField name="100% Attendance [Sinhgad Road]" numFmtId="0">
      <sharedItems containsBlank="1" count="8">
        <s v="daksh sharma"/>
        <s v="prem patil"/>
        <s v="Ayaan Joshi"/>
        <s v="Siya Kumar"/>
        <s v="Ayaan Desai"/>
        <s v="Ayaan Kumar"/>
        <m/>
        <s v="kabir jai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Aarav Patil"/>
    <n v="100"/>
    <x v="0"/>
    <s v="aarav sharma"/>
    <n v="75"/>
    <x v="0"/>
    <s v="daksh sharma"/>
    <n v="100"/>
    <x v="0"/>
  </r>
  <r>
    <s v="Atharva Deshmukh"/>
    <n v="100"/>
    <x v="1"/>
    <s v="Aditya Kadam"/>
    <n v="75"/>
    <x v="1"/>
    <s v="prem patil"/>
    <n v="100"/>
    <x v="1"/>
  </r>
  <r>
    <s v="aryan patil"/>
    <n v="100"/>
    <x v="2"/>
    <s v="Aniket Jadhav"/>
    <n v="75"/>
    <x v="2"/>
    <s v="Ayaan Joshi"/>
    <n v="100"/>
    <x v="2"/>
  </r>
  <r>
    <s v="Kabir Desai"/>
    <n v="97"/>
    <x v="3"/>
    <s v="Meera Kumar"/>
    <n v="100"/>
    <x v="3"/>
    <s v="ram sharma"/>
    <n v="64"/>
    <x v="3"/>
  </r>
  <r>
    <s v="Vivaan Kulkarni"/>
    <n v="96"/>
    <x v="4"/>
    <s v="Ira Kumar"/>
    <n v="100"/>
    <x v="4"/>
    <s v="Anaya Joshi"/>
    <n v="91"/>
    <x v="4"/>
  </r>
  <r>
    <s v="Reyansh Sharma"/>
    <n v="95"/>
    <x v="4"/>
    <s v="Atharva Gaikwad"/>
    <n v="61"/>
    <x v="5"/>
    <s v="ayra sharma"/>
    <n v="78"/>
    <x v="5"/>
  </r>
  <r>
    <s v="Siddharth Joshi"/>
    <n v="95"/>
    <x v="4"/>
    <s v="Chinmay Deo"/>
    <n v="62"/>
    <x v="6"/>
    <s v="Kabir Desai"/>
    <n v="35"/>
    <x v="6"/>
  </r>
  <r>
    <s v="Anay Shinde"/>
    <n v="94"/>
    <x v="4"/>
    <s v="Aarav Patil"/>
    <n v="62"/>
    <x v="6"/>
    <s v="Anaya Desai"/>
    <n v="75"/>
    <x v="6"/>
  </r>
  <r>
    <s v="Ishaan Chavan"/>
    <n v="94"/>
    <x v="4"/>
    <s v="Ira Patil"/>
    <n v="91"/>
    <x v="6"/>
    <s v="Meera Patil"/>
    <n v="90"/>
    <x v="6"/>
  </r>
  <r>
    <s v="Ira Joshi"/>
    <n v="94"/>
    <x v="4"/>
    <s v="Reyansh Joshi"/>
    <n v="78"/>
    <x v="6"/>
    <s v="pratik kumar"/>
    <n v="58"/>
    <x v="6"/>
  </r>
  <r>
    <s v="Omkar Bhosale"/>
    <n v="92"/>
    <x v="4"/>
    <s v="Digvijay Mohite"/>
    <n v="91"/>
    <x v="6"/>
    <s v="Aarav Desai"/>
    <n v="61"/>
    <x v="6"/>
  </r>
  <r>
    <s v="Rudra Gaikwad"/>
    <n v="91"/>
    <x v="4"/>
    <s v="Durvesh Raut"/>
    <n v="37"/>
    <x v="6"/>
    <s v="pratik more"/>
    <n v="88"/>
    <x v="6"/>
  </r>
  <r>
    <s v="Vedant Jadhav"/>
    <n v="100"/>
    <x v="4"/>
    <s v="Ayaan Joshi"/>
    <n v="41"/>
    <x v="6"/>
    <s v="shubham pawar"/>
    <n v="67"/>
    <x v="6"/>
  </r>
  <r>
    <s v="Vivaan Joshi"/>
    <n v="90"/>
    <x v="4"/>
    <s v="Gandhar Kulkarni"/>
    <n v="100"/>
    <x v="6"/>
    <s v="Riya Kumar"/>
    <n v="96"/>
    <x v="6"/>
  </r>
  <r>
    <s v="Meera Desai"/>
    <n v="88"/>
    <x v="4"/>
    <s v="Hrishikesh Gokhale"/>
    <n v="100"/>
    <x v="6"/>
    <s v="disen Patil"/>
    <n v="56"/>
    <x v="6"/>
  </r>
  <r>
    <s v="Kabir Patil"/>
    <n v="87"/>
    <x v="4"/>
    <s v="Jayant Apte"/>
    <n v="80"/>
    <x v="6"/>
    <s v="arya sharma"/>
    <n v="52"/>
    <x v="6"/>
  </r>
  <r>
    <s v="Meera Sharma"/>
    <n v="86"/>
    <x v="4"/>
    <s v="Kedar Deshpande"/>
    <n v="72"/>
    <x v="6"/>
    <s v="Riya Joshi"/>
    <n v="33"/>
    <x v="6"/>
  </r>
  <r>
    <s v="Aarav Desai"/>
    <n v="85"/>
    <x v="4"/>
    <s v="Mandar Patwardhan"/>
    <n v="94"/>
    <x v="6"/>
    <s v="Riya Sharma"/>
    <n v="95"/>
    <x v="6"/>
  </r>
  <r>
    <s v="Vivaan Patil"/>
    <n v="82"/>
    <x v="4"/>
    <s v="Anaya Patil"/>
    <n v="77"/>
    <x v="6"/>
    <s v="bhavya desai"/>
    <n v="61"/>
    <x v="6"/>
  </r>
  <r>
    <s v="manish sisodia"/>
    <n v="80"/>
    <x v="4"/>
    <s v="Siya Sharma"/>
    <n v="60"/>
    <x v="6"/>
    <s v="Anaya Kumar"/>
    <n v="51"/>
    <x v="6"/>
  </r>
  <r>
    <s v="Kabir Joshi"/>
    <n v="80"/>
    <x v="4"/>
    <s v="Siya Desai"/>
    <n v="57"/>
    <x v="6"/>
    <s v="sarthak sharma"/>
    <n v="82"/>
    <x v="6"/>
  </r>
  <r>
    <s v="Tejas Pawar"/>
    <n v="79"/>
    <x v="4"/>
    <s v="Vivaan Joshi"/>
    <n v="63"/>
    <x v="6"/>
    <s v="Ayaan Sharma"/>
    <n v="42"/>
    <x v="6"/>
  </r>
  <r>
    <s v="Anaya Joshi"/>
    <n v="78"/>
    <x v="4"/>
    <s v="Ninad Sardesai"/>
    <n v="63"/>
    <x v="6"/>
    <s v="Reyansh Sharma"/>
    <n v="62"/>
    <x v="6"/>
  </r>
  <r>
    <s v="Hriday Limaye"/>
    <n v="78"/>
    <x v="4"/>
    <s v="Reyansh Kumar"/>
    <n v="86"/>
    <x v="6"/>
    <s v="Kabir Kumar"/>
    <n v="92"/>
    <x v="6"/>
  </r>
  <r>
    <s v="Meera Joshi"/>
    <n v="75"/>
    <x v="4"/>
    <s v="Prathamesh Kulkarni"/>
    <n v="66"/>
    <x v="6"/>
    <s v="Siya Kumar"/>
    <n v="100"/>
    <x v="6"/>
  </r>
  <r>
    <s v="Aryan Apte"/>
    <n v="73"/>
    <x v="4"/>
    <s v="Kabir Kumar"/>
    <n v="100"/>
    <x v="6"/>
    <s v="meera jain"/>
    <n v="42"/>
    <x v="6"/>
  </r>
  <r>
    <s v="Siya Desai"/>
    <n v="73"/>
    <x v="4"/>
    <s v="Meera Joshi"/>
    <n v="28"/>
    <x v="6"/>
    <s v="Aarav Joshi"/>
    <n v="66"/>
    <x v="6"/>
  </r>
  <r>
    <s v="Ira Sharma"/>
    <n v="73"/>
    <x v="4"/>
    <s v="Rahul Shinde"/>
    <n v="52"/>
    <x v="6"/>
    <s v="Ayaan Desai"/>
    <n v="100"/>
    <x v="6"/>
  </r>
  <r>
    <s v="Kunal Godbole"/>
    <n v="72"/>
    <x v="4"/>
    <s v="Ritesh Surve"/>
    <n v="58"/>
    <x v="6"/>
    <s v="Reyansh Joshi"/>
    <n v="40"/>
    <x v="6"/>
  </r>
  <r>
    <s v="Meera Patil"/>
    <n v="72"/>
    <x v="4"/>
    <s v="Sanket Kanade"/>
    <n v="85"/>
    <x v="6"/>
    <s v="Ayaan Kumar"/>
    <n v="100"/>
    <x v="6"/>
  </r>
  <r>
    <s v="Ira Patil"/>
    <n v="70"/>
    <x v="4"/>
    <s v="Kabir Sharma"/>
    <n v="68"/>
    <x v="6"/>
    <s v="Meera Desai"/>
    <n v="86"/>
    <x v="6"/>
  </r>
  <r>
    <s v="Riya Patil"/>
    <n v="65"/>
    <x v="4"/>
    <s v="Aarav Joshi"/>
    <n v="82"/>
    <x v="6"/>
    <s v="Siya Sharma"/>
    <n v="96"/>
    <x v="6"/>
  </r>
  <r>
    <s v="Pranav Gadgil"/>
    <n v="61"/>
    <x v="4"/>
    <s v="Shantanu Phadke"/>
    <n v="86"/>
    <x v="6"/>
    <s v="Kabir Patil"/>
    <n v="92"/>
    <x v="6"/>
  </r>
  <r>
    <s v="Saurabh Ranade"/>
    <n v="60"/>
    <x v="4"/>
    <s v="Ayaan Patil"/>
    <n v="56"/>
    <x v="6"/>
    <s v="Siya Desai"/>
    <n v="52"/>
    <x v="6"/>
  </r>
  <r>
    <s v="Riya Joshi"/>
    <n v="59"/>
    <x v="4"/>
    <s v="Kabir Desai"/>
    <n v="54"/>
    <x v="6"/>
    <s v="kabir jain"/>
    <n v="50"/>
    <x v="6"/>
  </r>
  <r>
    <s v="Aarav Kumar"/>
    <n v="57"/>
    <x v="4"/>
    <s v="Shreyas Dixit"/>
    <n v="50"/>
    <x v="6"/>
    <s v="Ira Sharma"/>
    <n v="49"/>
    <x v="6"/>
  </r>
  <r>
    <s v="Ayaan Joshi"/>
    <n v="57"/>
    <x v="4"/>
    <s v="Reyansh Patil"/>
    <n v="100"/>
    <x v="6"/>
    <s v="arya joshi"/>
    <n v="91"/>
    <x v="6"/>
  </r>
  <r>
    <s v="Aarav Sharma"/>
    <n v="57"/>
    <x v="4"/>
    <s v="Ira Desai"/>
    <n v="53"/>
    <x v="6"/>
    <s v="dev neeraj"/>
    <n v="41"/>
    <x v="6"/>
  </r>
  <r>
    <s v="Anaya Sharma"/>
    <n v="54"/>
    <x v="4"/>
    <s v="Kabir Joshi"/>
    <n v="71"/>
    <x v="6"/>
    <s v="Vivaan Sharma"/>
    <n v="87"/>
    <x v="6"/>
  </r>
  <r>
    <s v="Ira Kumar"/>
    <n v="52"/>
    <x v="4"/>
    <s v="Kabir Patil"/>
    <n v="85"/>
    <x v="6"/>
    <s v="Meera Joshi"/>
    <n v="93"/>
    <x v="6"/>
  </r>
  <r>
    <s v="Ayaan Sharma"/>
    <n v="50"/>
    <x v="4"/>
    <s v="Ira Sharma"/>
    <n v="81"/>
    <x v="6"/>
    <s v="Ira Desai"/>
    <n v="75"/>
    <x v="6"/>
  </r>
  <r>
    <s v="Anaya Kumar"/>
    <n v="46"/>
    <x v="4"/>
    <s v="Anaya Kumar"/>
    <n v="68"/>
    <x v="6"/>
    <s v="Vivaan Desai"/>
    <n v="53"/>
    <x v="6"/>
  </r>
  <r>
    <s v="Reyansh Joshi"/>
    <n v="44"/>
    <x v="4"/>
    <s v="Ira Joshi"/>
    <n v="86"/>
    <x v="6"/>
    <s v="Anaya Sharma"/>
    <n v="52"/>
    <x v="6"/>
  </r>
  <r>
    <s v="Ayaan Kumar"/>
    <n v="43"/>
    <x v="4"/>
    <s v="Vivaan Patil"/>
    <n v="68"/>
    <x v="6"/>
    <s v="Anaya Patil"/>
    <n v="51"/>
    <x v="6"/>
  </r>
  <r>
    <s v="Samarth Gokhale"/>
    <n v="43"/>
    <x v="4"/>
    <s v="Vivaan Sharma"/>
    <n v="93"/>
    <x v="6"/>
    <s v="Vivaan Patil"/>
    <n v="27"/>
    <x v="6"/>
  </r>
  <r>
    <s v="Madhav Bapat"/>
    <n v="42"/>
    <x v="4"/>
    <s v="Meera Sharma"/>
    <n v="55"/>
    <x v="6"/>
    <s v="Siya Patil"/>
    <n v="68"/>
    <x v="6"/>
  </r>
  <r>
    <s v="Anaya Patil"/>
    <n v="40"/>
    <x v="4"/>
    <s v="Ayaan Kumar"/>
    <n v="78"/>
    <x v="6"/>
    <s v="ananya dixit"/>
    <n v="95"/>
    <x v="6"/>
  </r>
  <r>
    <s v="Aaditya Kar"/>
    <n v="36"/>
    <x v="4"/>
    <s v="Riya Joshi"/>
    <n v="48"/>
    <x v="6"/>
    <s v="ria joshi"/>
    <n v="52"/>
    <x v="6"/>
  </r>
  <r>
    <s v="Anaya Desai"/>
    <n v="32"/>
    <x v="4"/>
    <s v="Siya Joshi"/>
    <n v="49"/>
    <x v="6"/>
    <s v="Vivaan Joshi"/>
    <n v="86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70665-2DA2-4C5A-BF4F-D27CB2799265}" name="PivotTable11" cacheId="0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outline="1" outlineData="1" multipleFieldFilters="0" chartFormat="1">
  <location ref="A2:D15" firstHeaderRow="0" firstDataRow="1" firstDataCol="1"/>
  <pivotFields count="9">
    <pivotField showAll="0"/>
    <pivotField showAll="0"/>
    <pivotField axis="axisRow" dataField="1" showAll="0">
      <items count="8">
        <item m="1" x="6"/>
        <item m="1" x="5"/>
        <item h="1" x="4"/>
        <item x="0"/>
        <item x="1"/>
        <item x="2"/>
        <item x="3"/>
        <item t="default"/>
      </items>
    </pivotField>
    <pivotField showAll="0"/>
    <pivotField showAll="0"/>
    <pivotField axis="axisRow" dataField="1" showAll="0">
      <items count="9">
        <item x="1"/>
        <item m="1" x="7"/>
        <item x="0"/>
        <item x="5"/>
        <item x="6"/>
        <item x="4"/>
        <item x="2"/>
        <item x="3"/>
        <item t="default"/>
      </items>
    </pivotField>
    <pivotField showAll="0"/>
    <pivotField showAll="0"/>
    <pivotField axis="axisRow" dataField="1" showAll="0">
      <items count="9">
        <item x="4"/>
        <item x="2"/>
        <item x="5"/>
        <item x="0"/>
        <item m="1" x="7"/>
        <item x="1"/>
        <item x="3"/>
        <item x="6"/>
        <item t="default"/>
      </items>
    </pivotField>
  </pivotFields>
  <rowFields count="3">
    <field x="2"/>
    <field x="5"/>
    <field x="8"/>
  </rowFields>
  <rowItems count="13">
    <i>
      <x v="3"/>
    </i>
    <i r="1">
      <x v="2"/>
    </i>
    <i r="2">
      <x v="3"/>
    </i>
    <i>
      <x v="4"/>
    </i>
    <i r="1">
      <x/>
    </i>
    <i r="2">
      <x v="5"/>
    </i>
    <i>
      <x v="5"/>
    </i>
    <i r="1">
      <x v="6"/>
    </i>
    <i r="2">
      <x v="1"/>
    </i>
    <i>
      <x v="6"/>
    </i>
    <i r="1">
      <x v="7"/>
    </i>
    <i r="2"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100% Attendance [Aundh]" fld="2" subtotal="count" baseField="0" baseItem="0"/>
    <dataField name="Count of 100% Attendance [Kondhwa]" fld="5" subtotal="count" baseField="0" baseItem="0"/>
    <dataField name="Count of 100% Attendance [Sinhgad Road]" fld="8" subtotal="count" baseField="0" baseItem="0"/>
  </dataFields>
  <chartFormats count="3">
    <chartFormat chart="0" format="1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48354-DA13-4625-8FAA-7D83D43CB547}">
  <dimension ref="A2:D15"/>
  <sheetViews>
    <sheetView workbookViewId="0">
      <selection activeCell="A3" sqref="A3"/>
    </sheetView>
  </sheetViews>
  <sheetFormatPr defaultRowHeight="15" x14ac:dyDescent="0.25"/>
  <cols>
    <col min="1" max="1" width="22.140625" bestFit="1" customWidth="1"/>
    <col min="2" max="2" width="32.7109375" bestFit="1" customWidth="1"/>
    <col min="3" max="3" width="35.28515625" bestFit="1" customWidth="1"/>
    <col min="4" max="4" width="39" bestFit="1" customWidth="1"/>
  </cols>
  <sheetData>
    <row r="2" spans="1:4" x14ac:dyDescent="0.25">
      <c r="A2" s="1" t="s">
        <v>1313</v>
      </c>
      <c r="B2" t="s">
        <v>1349</v>
      </c>
      <c r="C2" t="s">
        <v>1350</v>
      </c>
      <c r="D2" t="s">
        <v>1351</v>
      </c>
    </row>
    <row r="3" spans="1:4" x14ac:dyDescent="0.25">
      <c r="A3" s="3" t="s">
        <v>267</v>
      </c>
      <c r="B3">
        <v>1</v>
      </c>
      <c r="C3">
        <v>1</v>
      </c>
      <c r="D3">
        <v>1</v>
      </c>
    </row>
    <row r="4" spans="1:4" x14ac:dyDescent="0.25">
      <c r="A4" s="6" t="s">
        <v>643</v>
      </c>
      <c r="B4">
        <v>1</v>
      </c>
      <c r="C4">
        <v>1</v>
      </c>
      <c r="D4">
        <v>1</v>
      </c>
    </row>
    <row r="5" spans="1:4" x14ac:dyDescent="0.25">
      <c r="A5" s="7" t="s">
        <v>1322</v>
      </c>
      <c r="B5">
        <v>1</v>
      </c>
      <c r="C5">
        <v>1</v>
      </c>
      <c r="D5">
        <v>1</v>
      </c>
    </row>
    <row r="6" spans="1:4" x14ac:dyDescent="0.25">
      <c r="A6" s="3" t="s">
        <v>1352</v>
      </c>
      <c r="B6">
        <v>1</v>
      </c>
      <c r="C6">
        <v>1</v>
      </c>
      <c r="D6">
        <v>1</v>
      </c>
    </row>
    <row r="7" spans="1:4" x14ac:dyDescent="0.25">
      <c r="A7" s="6" t="s">
        <v>53</v>
      </c>
      <c r="B7">
        <v>1</v>
      </c>
      <c r="C7">
        <v>1</v>
      </c>
      <c r="D7">
        <v>1</v>
      </c>
    </row>
    <row r="8" spans="1:4" x14ac:dyDescent="0.25">
      <c r="A8" s="7" t="s">
        <v>1339</v>
      </c>
      <c r="B8">
        <v>1</v>
      </c>
      <c r="C8">
        <v>1</v>
      </c>
      <c r="D8">
        <v>1</v>
      </c>
    </row>
    <row r="9" spans="1:4" x14ac:dyDescent="0.25">
      <c r="A9" s="3" t="s">
        <v>1387</v>
      </c>
      <c r="B9">
        <v>1</v>
      </c>
      <c r="C9">
        <v>1</v>
      </c>
      <c r="D9">
        <v>1</v>
      </c>
    </row>
    <row r="10" spans="1:4" x14ac:dyDescent="0.25">
      <c r="A10" s="6" t="s">
        <v>1375</v>
      </c>
      <c r="B10">
        <v>1</v>
      </c>
      <c r="C10">
        <v>1</v>
      </c>
      <c r="D10">
        <v>1</v>
      </c>
    </row>
    <row r="11" spans="1:4" x14ac:dyDescent="0.25">
      <c r="A11" s="7" t="s">
        <v>486</v>
      </c>
      <c r="B11">
        <v>1</v>
      </c>
      <c r="C11">
        <v>1</v>
      </c>
      <c r="D11">
        <v>1</v>
      </c>
    </row>
    <row r="12" spans="1:4" x14ac:dyDescent="0.25">
      <c r="A12" s="3" t="s">
        <v>1359</v>
      </c>
      <c r="B12">
        <v>1</v>
      </c>
      <c r="C12">
        <v>1</v>
      </c>
      <c r="D12">
        <v>1</v>
      </c>
    </row>
    <row r="13" spans="1:4" x14ac:dyDescent="0.25">
      <c r="A13" s="6" t="s">
        <v>1376</v>
      </c>
      <c r="B13">
        <v>1</v>
      </c>
      <c r="C13">
        <v>1</v>
      </c>
      <c r="D13">
        <v>1</v>
      </c>
    </row>
    <row r="14" spans="1:4" x14ac:dyDescent="0.25">
      <c r="A14" s="7" t="s">
        <v>915</v>
      </c>
      <c r="B14">
        <v>1</v>
      </c>
      <c r="C14">
        <v>1</v>
      </c>
      <c r="D14">
        <v>1</v>
      </c>
    </row>
    <row r="15" spans="1:4" x14ac:dyDescent="0.25">
      <c r="A15" s="3" t="s">
        <v>1310</v>
      </c>
      <c r="B15">
        <v>4</v>
      </c>
      <c r="C15">
        <v>4</v>
      </c>
      <c r="D15">
        <v>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FEBC7-8C5A-4140-8BD6-39AE420FB678}">
  <dimension ref="A1:I51"/>
  <sheetViews>
    <sheetView zoomScale="90" zoomScaleNormal="90" workbookViewId="0">
      <selection activeCell="E14" sqref="E14:E15"/>
    </sheetView>
  </sheetViews>
  <sheetFormatPr defaultRowHeight="15" x14ac:dyDescent="0.25"/>
  <cols>
    <col min="1" max="1" width="21.42578125" customWidth="1"/>
    <col min="2" max="2" width="18.7109375" customWidth="1"/>
    <col min="3" max="3" width="23.85546875" customWidth="1"/>
    <col min="4" max="4" width="23.5703125" customWidth="1"/>
    <col min="5" max="5" width="21" customWidth="1"/>
    <col min="6" max="6" width="26.42578125" customWidth="1"/>
    <col min="7" max="7" width="27.5703125" customWidth="1"/>
    <col min="8" max="8" width="25.140625" customWidth="1"/>
    <col min="9" max="9" width="30.7109375" bestFit="1" customWidth="1"/>
    <col min="10" max="10" width="15.7109375" bestFit="1" customWidth="1"/>
    <col min="11" max="11" width="7.28515625" bestFit="1" customWidth="1"/>
    <col min="12" max="12" width="11.28515625" bestFit="1" customWidth="1"/>
    <col min="13" max="15" width="3.140625" bestFit="1" customWidth="1"/>
    <col min="16" max="16" width="8.85546875" bestFit="1" customWidth="1"/>
    <col min="17" max="17" width="11.28515625" bestFit="1" customWidth="1"/>
    <col min="18" max="18" width="7.85546875" bestFit="1" customWidth="1"/>
    <col min="19" max="19" width="4.85546875" bestFit="1" customWidth="1"/>
    <col min="20" max="20" width="3.140625" bestFit="1" customWidth="1"/>
    <col min="21" max="21" width="7.85546875" bestFit="1" customWidth="1"/>
    <col min="22" max="22" width="8.85546875" bestFit="1" customWidth="1"/>
    <col min="23" max="23" width="11.28515625" bestFit="1" customWidth="1"/>
    <col min="24" max="35" width="3.140625" bestFit="1" customWidth="1"/>
    <col min="36" max="36" width="4.140625" bestFit="1" customWidth="1"/>
    <col min="37" max="37" width="11.28515625" bestFit="1" customWidth="1"/>
    <col min="38" max="40" width="3.140625" bestFit="1" customWidth="1"/>
    <col min="41" max="42" width="4.140625" bestFit="1" customWidth="1"/>
    <col min="43" max="44" width="3.140625" bestFit="1" customWidth="1"/>
    <col min="45" max="45" width="4.140625" bestFit="1" customWidth="1"/>
    <col min="46" max="46" width="3.140625" bestFit="1" customWidth="1"/>
    <col min="47" max="51" width="4.140625" bestFit="1" customWidth="1"/>
    <col min="52" max="54" width="3.140625" bestFit="1" customWidth="1"/>
    <col min="55" max="57" width="4.140625" bestFit="1" customWidth="1"/>
    <col min="58" max="58" width="7.28515625" bestFit="1" customWidth="1"/>
    <col min="59" max="59" width="23.140625" bestFit="1" customWidth="1"/>
    <col min="60" max="60" width="24.140625" bestFit="1" customWidth="1"/>
  </cols>
  <sheetData>
    <row r="1" spans="1:9" ht="20.25" thickBot="1" x14ac:dyDescent="0.35">
      <c r="A1" s="5" t="s">
        <v>1318</v>
      </c>
      <c r="D1" s="5" t="s">
        <v>1319</v>
      </c>
      <c r="G1" s="5" t="s">
        <v>1320</v>
      </c>
    </row>
    <row r="2" spans="1:9" ht="15.75" thickTop="1" x14ac:dyDescent="0.25">
      <c r="A2" s="8" t="s">
        <v>1323</v>
      </c>
      <c r="B2" s="8" t="s">
        <v>1324</v>
      </c>
      <c r="C2" s="8" t="s">
        <v>1346</v>
      </c>
      <c r="D2" s="8" t="s">
        <v>1325</v>
      </c>
      <c r="E2" s="8" t="s">
        <v>1326</v>
      </c>
      <c r="F2" s="8" t="s">
        <v>1347</v>
      </c>
      <c r="G2" s="8" t="s">
        <v>1327</v>
      </c>
      <c r="H2" s="8" t="s">
        <v>1328</v>
      </c>
      <c r="I2" s="8" t="s">
        <v>1348</v>
      </c>
    </row>
    <row r="3" spans="1:9" x14ac:dyDescent="0.25">
      <c r="A3" t="s">
        <v>267</v>
      </c>
      <c r="B3" t="e" cm="1">
        <f t="array" ref="B3:B51">VLOOKUP(A3:A51,Aundh!B:AM,39,0)</f>
        <v>#REF!</v>
      </c>
      <c r="C3" t="e" cm="1">
        <f t="array" ref="C3">_xlfn._xlws.FILTER(A3:A50, B3:B50=100, "No students with 100% attendance")</f>
        <v>#REF!</v>
      </c>
      <c r="D3" t="s">
        <v>1321</v>
      </c>
      <c r="E3" t="e" cm="1">
        <f t="array" ref="E3:E51">VLOOKUP(D3:D51,Kondhwa!B:AM,39,0)</f>
        <v>#REF!</v>
      </c>
      <c r="F3" t="e" cm="1">
        <f t="array" ref="F3">_xlfn._xlws.FILTER(D3:D50, E3:E50=100, "No students with 100% attendance")</f>
        <v>#REF!</v>
      </c>
      <c r="G3" t="s">
        <v>1322</v>
      </c>
      <c r="H3" t="e" cm="1">
        <f t="array" ref="H3:H51">VLOOKUP(G3:G51,Sinhgad_Road!B:AM,39,0)</f>
        <v>#REF!</v>
      </c>
      <c r="I3" t="e" cm="1">
        <f t="array" ref="I3">_xlfn._xlws.FILTER(G3:G50, H3:H50=100, "No students with 100% attendance")</f>
        <v>#REF!</v>
      </c>
    </row>
    <row r="4" spans="1:9" x14ac:dyDescent="0.25">
      <c r="A4" t="s">
        <v>1352</v>
      </c>
      <c r="B4" t="e">
        <v>#REF!</v>
      </c>
      <c r="D4" t="s">
        <v>1369</v>
      </c>
      <c r="E4" t="e">
        <v>#REF!</v>
      </c>
      <c r="G4" t="s">
        <v>1339</v>
      </c>
      <c r="H4" t="e">
        <v>#REF!</v>
      </c>
    </row>
    <row r="5" spans="1:9" x14ac:dyDescent="0.25">
      <c r="A5" t="s">
        <v>1387</v>
      </c>
      <c r="B5" t="e">
        <v>#REF!</v>
      </c>
      <c r="D5" t="s">
        <v>1370</v>
      </c>
      <c r="E5" t="e">
        <v>#REF!</v>
      </c>
      <c r="G5" t="s">
        <v>486</v>
      </c>
      <c r="H5" t="e">
        <v>#REF!</v>
      </c>
    </row>
    <row r="6" spans="1:9" x14ac:dyDescent="0.25">
      <c r="A6" t="s">
        <v>569</v>
      </c>
      <c r="B6" t="e">
        <v>#REF!</v>
      </c>
      <c r="D6" t="s">
        <v>643</v>
      </c>
      <c r="E6" t="e">
        <v>#REF!</v>
      </c>
      <c r="G6" t="s">
        <v>1338</v>
      </c>
      <c r="H6" t="e">
        <v>#REF!</v>
      </c>
    </row>
    <row r="7" spans="1:9" x14ac:dyDescent="0.25">
      <c r="A7" t="s">
        <v>1353</v>
      </c>
      <c r="B7" t="e">
        <v>#REF!</v>
      </c>
      <c r="D7" t="s">
        <v>53</v>
      </c>
      <c r="E7" t="e">
        <v>#REF!</v>
      </c>
      <c r="G7" t="s">
        <v>212</v>
      </c>
      <c r="H7" t="e">
        <v>#REF!</v>
      </c>
    </row>
    <row r="8" spans="1:9" x14ac:dyDescent="0.25">
      <c r="A8" t="s">
        <v>50</v>
      </c>
      <c r="B8" t="e">
        <v>#REF!</v>
      </c>
      <c r="D8" t="s">
        <v>1371</v>
      </c>
      <c r="E8" t="e">
        <v>#REF!</v>
      </c>
      <c r="G8" t="s">
        <v>1337</v>
      </c>
      <c r="H8" t="e">
        <v>#REF!</v>
      </c>
    </row>
    <row r="9" spans="1:9" x14ac:dyDescent="0.25">
      <c r="A9" t="s">
        <v>1354</v>
      </c>
      <c r="B9" t="e">
        <v>#REF!</v>
      </c>
      <c r="D9" t="s">
        <v>1372</v>
      </c>
      <c r="E9" t="e">
        <v>#REF!</v>
      </c>
      <c r="G9" t="s">
        <v>569</v>
      </c>
      <c r="H9" t="e">
        <v>#REF!</v>
      </c>
    </row>
    <row r="10" spans="1:9" x14ac:dyDescent="0.25">
      <c r="A10" t="s">
        <v>1356</v>
      </c>
      <c r="B10" t="e">
        <v>#REF!</v>
      </c>
      <c r="D10" t="s">
        <v>267</v>
      </c>
      <c r="E10" t="e">
        <v>#REF!</v>
      </c>
      <c r="G10" t="s">
        <v>149</v>
      </c>
      <c r="H10" t="e">
        <v>#REF!</v>
      </c>
    </row>
    <row r="11" spans="1:9" x14ac:dyDescent="0.25">
      <c r="A11" t="s">
        <v>1355</v>
      </c>
      <c r="B11" t="e">
        <v>#REF!</v>
      </c>
      <c r="D11" t="s">
        <v>460</v>
      </c>
      <c r="E11" t="e">
        <v>#REF!</v>
      </c>
      <c r="G11" t="s">
        <v>265</v>
      </c>
      <c r="H11" t="e">
        <v>#REF!</v>
      </c>
    </row>
    <row r="12" spans="1:9" x14ac:dyDescent="0.25">
      <c r="A12" t="s">
        <v>344</v>
      </c>
      <c r="B12" t="e">
        <v>#REF!</v>
      </c>
      <c r="D12" t="s">
        <v>128</v>
      </c>
      <c r="E12" t="e">
        <v>#REF!</v>
      </c>
      <c r="G12" t="s">
        <v>1336</v>
      </c>
      <c r="H12" t="e">
        <v>#REF!</v>
      </c>
    </row>
    <row r="13" spans="1:9" x14ac:dyDescent="0.25">
      <c r="A13" t="s">
        <v>1357</v>
      </c>
      <c r="B13" t="e">
        <v>#REF!</v>
      </c>
      <c r="D13" t="s">
        <v>1373</v>
      </c>
      <c r="E13" t="e">
        <v>#REF!</v>
      </c>
      <c r="G13" t="s">
        <v>181</v>
      </c>
      <c r="H13" t="e">
        <v>#REF!</v>
      </c>
    </row>
    <row r="14" spans="1:9" x14ac:dyDescent="0.25">
      <c r="A14" t="s">
        <v>1358</v>
      </c>
      <c r="B14" t="e">
        <v>#REF!</v>
      </c>
      <c r="D14" t="s">
        <v>1374</v>
      </c>
      <c r="E14" t="e">
        <v>#REF!</v>
      </c>
      <c r="G14" t="s">
        <v>1335</v>
      </c>
      <c r="H14" t="e">
        <v>#REF!</v>
      </c>
    </row>
    <row r="15" spans="1:9" x14ac:dyDescent="0.25">
      <c r="A15" t="s">
        <v>1359</v>
      </c>
      <c r="B15" t="e">
        <v>#REF!</v>
      </c>
      <c r="D15" t="s">
        <v>486</v>
      </c>
      <c r="E15" t="e">
        <v>#REF!</v>
      </c>
      <c r="G15" t="s">
        <v>1334</v>
      </c>
      <c r="H15" t="e">
        <v>#REF!</v>
      </c>
    </row>
    <row r="16" spans="1:9" x14ac:dyDescent="0.25">
      <c r="A16" t="s">
        <v>278</v>
      </c>
      <c r="B16" t="e">
        <v>#REF!</v>
      </c>
      <c r="D16" t="s">
        <v>1375</v>
      </c>
      <c r="E16" t="e">
        <v>#REF!</v>
      </c>
      <c r="G16" t="s">
        <v>799</v>
      </c>
      <c r="H16" t="e">
        <v>#REF!</v>
      </c>
    </row>
    <row r="17" spans="1:8" x14ac:dyDescent="0.25">
      <c r="A17" t="s">
        <v>162</v>
      </c>
      <c r="B17" t="e">
        <v>#REF!</v>
      </c>
      <c r="D17" t="s">
        <v>1376</v>
      </c>
      <c r="E17" t="e">
        <v>#REF!</v>
      </c>
      <c r="G17" t="s">
        <v>1330</v>
      </c>
      <c r="H17" t="e">
        <v>#REF!</v>
      </c>
    </row>
    <row r="18" spans="1:8" x14ac:dyDescent="0.25">
      <c r="A18" t="s">
        <v>131</v>
      </c>
      <c r="B18" t="e">
        <v>#REF!</v>
      </c>
      <c r="D18" t="s">
        <v>1377</v>
      </c>
      <c r="E18" t="e">
        <v>#REF!</v>
      </c>
      <c r="G18" t="s">
        <v>1331</v>
      </c>
      <c r="H18" t="e">
        <v>#REF!</v>
      </c>
    </row>
    <row r="19" spans="1:8" x14ac:dyDescent="0.25">
      <c r="A19" t="s">
        <v>389</v>
      </c>
      <c r="B19" t="e">
        <v>#REF!</v>
      </c>
      <c r="D19" t="s">
        <v>1378</v>
      </c>
      <c r="E19" t="e">
        <v>#REF!</v>
      </c>
      <c r="G19" t="s">
        <v>104</v>
      </c>
      <c r="H19" t="e">
        <v>#REF!</v>
      </c>
    </row>
    <row r="20" spans="1:8" x14ac:dyDescent="0.25">
      <c r="A20" t="s">
        <v>181</v>
      </c>
      <c r="B20" t="e">
        <v>#REF!</v>
      </c>
      <c r="D20" t="s">
        <v>1379</v>
      </c>
      <c r="E20" t="e">
        <v>#REF!</v>
      </c>
      <c r="G20" t="s">
        <v>700</v>
      </c>
      <c r="H20" t="e">
        <v>#REF!</v>
      </c>
    </row>
    <row r="21" spans="1:8" x14ac:dyDescent="0.25">
      <c r="A21" t="s">
        <v>222</v>
      </c>
      <c r="B21" t="e">
        <v>#REF!</v>
      </c>
      <c r="D21" t="s">
        <v>402</v>
      </c>
      <c r="E21" t="e">
        <v>#REF!</v>
      </c>
      <c r="G21" t="s">
        <v>1332</v>
      </c>
      <c r="H21" t="e">
        <v>#REF!</v>
      </c>
    </row>
    <row r="22" spans="1:8" x14ac:dyDescent="0.25">
      <c r="A22" t="s">
        <v>1329</v>
      </c>
      <c r="B22" t="e">
        <v>#REF!</v>
      </c>
      <c r="D22" t="s">
        <v>196</v>
      </c>
      <c r="E22" t="e">
        <v>#REF!</v>
      </c>
      <c r="G22" t="s">
        <v>313</v>
      </c>
      <c r="H22" t="e">
        <v>#REF!</v>
      </c>
    </row>
    <row r="23" spans="1:8" x14ac:dyDescent="0.25">
      <c r="A23" t="s">
        <v>409</v>
      </c>
      <c r="B23" t="e">
        <v>#REF!</v>
      </c>
      <c r="D23" t="s">
        <v>419</v>
      </c>
      <c r="E23" t="e">
        <v>#REF!</v>
      </c>
      <c r="G23" t="s">
        <v>1333</v>
      </c>
      <c r="H23" t="e">
        <v>#REF!</v>
      </c>
    </row>
    <row r="24" spans="1:8" x14ac:dyDescent="0.25">
      <c r="A24" t="s">
        <v>1360</v>
      </c>
      <c r="B24" t="e">
        <v>#REF!</v>
      </c>
      <c r="D24" t="s">
        <v>278</v>
      </c>
      <c r="E24" t="e">
        <v>#REF!</v>
      </c>
      <c r="G24" t="s">
        <v>251</v>
      </c>
      <c r="H24" t="e">
        <v>#REF!</v>
      </c>
    </row>
    <row r="25" spans="1:8" x14ac:dyDescent="0.25">
      <c r="A25" t="s">
        <v>212</v>
      </c>
      <c r="B25" t="e">
        <v>#REF!</v>
      </c>
      <c r="D25" t="s">
        <v>1380</v>
      </c>
      <c r="E25" t="e">
        <v>#REF!</v>
      </c>
      <c r="G25" t="s">
        <v>50</v>
      </c>
      <c r="H25" t="e">
        <v>#REF!</v>
      </c>
    </row>
    <row r="26" spans="1:8" x14ac:dyDescent="0.25">
      <c r="A26" t="s">
        <v>1361</v>
      </c>
      <c r="B26" t="e">
        <v>#REF!</v>
      </c>
      <c r="D26" t="s">
        <v>224</v>
      </c>
      <c r="E26" t="e">
        <v>#REF!</v>
      </c>
      <c r="G26" t="s">
        <v>443</v>
      </c>
      <c r="H26" t="e">
        <v>#REF!</v>
      </c>
    </row>
    <row r="27" spans="1:8" x14ac:dyDescent="0.25">
      <c r="A27" t="s">
        <v>194</v>
      </c>
      <c r="B27" t="e">
        <v>#REF!</v>
      </c>
      <c r="D27" t="s">
        <v>1381</v>
      </c>
      <c r="E27" t="e">
        <v>#REF!</v>
      </c>
      <c r="G27" t="s">
        <v>915</v>
      </c>
      <c r="H27" t="e">
        <v>#REF!</v>
      </c>
    </row>
    <row r="28" spans="1:8" x14ac:dyDescent="0.25">
      <c r="A28" t="s">
        <v>1362</v>
      </c>
      <c r="B28" t="e">
        <v>#REF!</v>
      </c>
      <c r="D28" t="s">
        <v>443</v>
      </c>
      <c r="E28" t="e">
        <v>#REF!</v>
      </c>
      <c r="G28" t="s">
        <v>1345</v>
      </c>
      <c r="H28" t="e">
        <v>#REF!</v>
      </c>
    </row>
    <row r="29" spans="1:8" x14ac:dyDescent="0.25">
      <c r="A29" t="s">
        <v>419</v>
      </c>
      <c r="B29" t="e">
        <v>#REF!</v>
      </c>
      <c r="D29" t="s">
        <v>194</v>
      </c>
      <c r="E29" t="e">
        <v>#REF!</v>
      </c>
      <c r="G29" t="s">
        <v>377</v>
      </c>
      <c r="H29" t="e">
        <v>#REF!</v>
      </c>
    </row>
    <row r="30" spans="1:8" x14ac:dyDescent="0.25">
      <c r="A30" t="s">
        <v>179</v>
      </c>
      <c r="B30" t="e">
        <v>#REF!</v>
      </c>
      <c r="D30" t="s">
        <v>1382</v>
      </c>
      <c r="E30" t="e">
        <v>#REF!</v>
      </c>
      <c r="G30" t="s">
        <v>83</v>
      </c>
      <c r="H30" t="e">
        <v>#REF!</v>
      </c>
    </row>
    <row r="31" spans="1:8" x14ac:dyDescent="0.25">
      <c r="A31" t="s">
        <v>1363</v>
      </c>
      <c r="B31" t="e">
        <v>#REF!</v>
      </c>
      <c r="D31" t="s">
        <v>1383</v>
      </c>
      <c r="E31" t="e">
        <v>#REF!</v>
      </c>
      <c r="G31" t="s">
        <v>128</v>
      </c>
      <c r="H31" t="e">
        <v>#REF!</v>
      </c>
    </row>
    <row r="32" spans="1:8" x14ac:dyDescent="0.25">
      <c r="A32" t="s">
        <v>265</v>
      </c>
      <c r="B32" t="e">
        <v>#REF!</v>
      </c>
      <c r="D32" t="s">
        <v>1384</v>
      </c>
      <c r="E32" t="e">
        <v>#REF!</v>
      </c>
      <c r="G32" t="s">
        <v>364</v>
      </c>
      <c r="H32" t="e">
        <v>#REF!</v>
      </c>
    </row>
    <row r="33" spans="1:8" x14ac:dyDescent="0.25">
      <c r="A33" t="s">
        <v>460</v>
      </c>
      <c r="B33" t="e">
        <v>#REF!</v>
      </c>
      <c r="D33" t="s">
        <v>554</v>
      </c>
      <c r="E33" t="e">
        <v>#REF!</v>
      </c>
      <c r="G33" t="s">
        <v>162</v>
      </c>
      <c r="H33" t="e">
        <v>#REF!</v>
      </c>
    </row>
    <row r="34" spans="1:8" x14ac:dyDescent="0.25">
      <c r="A34" t="s">
        <v>164</v>
      </c>
      <c r="B34" t="e">
        <v>#REF!</v>
      </c>
      <c r="D34" t="s">
        <v>377</v>
      </c>
      <c r="E34" t="e">
        <v>#REF!</v>
      </c>
      <c r="G34" t="s">
        <v>196</v>
      </c>
      <c r="H34" t="e">
        <v>#REF!</v>
      </c>
    </row>
    <row r="35" spans="1:8" x14ac:dyDescent="0.25">
      <c r="A35" t="s">
        <v>1364</v>
      </c>
      <c r="B35" t="e">
        <v>#REF!</v>
      </c>
      <c r="D35" t="s">
        <v>1385</v>
      </c>
      <c r="E35" t="e">
        <v>#REF!</v>
      </c>
      <c r="G35" t="s">
        <v>131</v>
      </c>
      <c r="H35" t="e">
        <v>#REF!</v>
      </c>
    </row>
    <row r="36" spans="1:8" x14ac:dyDescent="0.25">
      <c r="A36" t="s">
        <v>1365</v>
      </c>
      <c r="B36" t="e">
        <v>#REF!</v>
      </c>
      <c r="D36" t="s">
        <v>544</v>
      </c>
      <c r="E36" t="e">
        <v>#REF!</v>
      </c>
      <c r="G36" t="s">
        <v>419</v>
      </c>
      <c r="H36" t="e">
        <v>#REF!</v>
      </c>
    </row>
    <row r="37" spans="1:8" x14ac:dyDescent="0.25">
      <c r="A37" t="s">
        <v>104</v>
      </c>
      <c r="B37" t="e">
        <v>#REF!</v>
      </c>
      <c r="D37" t="s">
        <v>569</v>
      </c>
      <c r="E37" t="e">
        <v>#REF!</v>
      </c>
      <c r="G37" t="s">
        <v>1343</v>
      </c>
      <c r="H37" t="e">
        <v>#REF!</v>
      </c>
    </row>
    <row r="38" spans="1:8" x14ac:dyDescent="0.25">
      <c r="A38" t="s">
        <v>81</v>
      </c>
      <c r="B38" t="e">
        <v>#REF!</v>
      </c>
      <c r="D38" t="s">
        <v>1386</v>
      </c>
      <c r="E38" t="e">
        <v>#REF!</v>
      </c>
      <c r="G38" t="s">
        <v>179</v>
      </c>
      <c r="H38" t="e">
        <v>#REF!</v>
      </c>
    </row>
    <row r="39" spans="1:8" x14ac:dyDescent="0.25">
      <c r="A39" t="s">
        <v>486</v>
      </c>
      <c r="B39" t="e">
        <v>#REF!</v>
      </c>
      <c r="D39" t="s">
        <v>894</v>
      </c>
      <c r="E39" t="e">
        <v>#REF!</v>
      </c>
      <c r="G39" t="s">
        <v>1344</v>
      </c>
      <c r="H39" t="e">
        <v>#REF!</v>
      </c>
    </row>
    <row r="40" spans="1:8" x14ac:dyDescent="0.25">
      <c r="A40" t="s">
        <v>613</v>
      </c>
      <c r="B40" t="e">
        <v>#REF!</v>
      </c>
      <c r="D40" t="s">
        <v>355</v>
      </c>
      <c r="E40" t="e">
        <v>#REF!</v>
      </c>
      <c r="G40" t="s">
        <v>1342</v>
      </c>
      <c r="H40" t="e">
        <v>#REF!</v>
      </c>
    </row>
    <row r="41" spans="1:8" x14ac:dyDescent="0.25">
      <c r="A41" t="s">
        <v>527</v>
      </c>
      <c r="B41" t="e">
        <v>#REF!</v>
      </c>
      <c r="D41" t="s">
        <v>409</v>
      </c>
      <c r="E41" t="e">
        <v>#REF!</v>
      </c>
      <c r="G41" t="s">
        <v>151</v>
      </c>
      <c r="H41" t="e">
        <v>#REF!</v>
      </c>
    </row>
    <row r="42" spans="1:8" x14ac:dyDescent="0.25">
      <c r="A42" t="s">
        <v>53</v>
      </c>
      <c r="B42" t="e">
        <v>#REF!</v>
      </c>
      <c r="D42" t="s">
        <v>131</v>
      </c>
      <c r="E42" t="e">
        <v>#REF!</v>
      </c>
      <c r="G42" t="s">
        <v>194</v>
      </c>
      <c r="H42" t="e">
        <v>#REF!</v>
      </c>
    </row>
    <row r="43" spans="1:8" x14ac:dyDescent="0.25">
      <c r="A43" t="s">
        <v>251</v>
      </c>
      <c r="B43" t="e">
        <v>#REF!</v>
      </c>
      <c r="D43" t="s">
        <v>179</v>
      </c>
      <c r="E43" t="e">
        <v>#REF!</v>
      </c>
      <c r="G43" t="s">
        <v>355</v>
      </c>
      <c r="H43" t="e">
        <v>#REF!</v>
      </c>
    </row>
    <row r="44" spans="1:8" x14ac:dyDescent="0.25">
      <c r="A44" t="s">
        <v>313</v>
      </c>
      <c r="B44" t="e">
        <v>#REF!</v>
      </c>
      <c r="D44" t="s">
        <v>313</v>
      </c>
      <c r="E44" t="e">
        <v>#REF!</v>
      </c>
      <c r="G44" t="s">
        <v>941</v>
      </c>
      <c r="H44" t="e">
        <v>#REF!</v>
      </c>
    </row>
    <row r="45" spans="1:8" x14ac:dyDescent="0.25">
      <c r="A45" t="s">
        <v>128</v>
      </c>
      <c r="B45" t="e">
        <v>#REF!</v>
      </c>
      <c r="D45" t="s">
        <v>344</v>
      </c>
      <c r="E45" t="e">
        <v>#REF!</v>
      </c>
      <c r="G45" t="s">
        <v>527</v>
      </c>
      <c r="H45" t="e">
        <v>#REF!</v>
      </c>
    </row>
    <row r="46" spans="1:8" x14ac:dyDescent="0.25">
      <c r="A46" t="s">
        <v>364</v>
      </c>
      <c r="B46" t="e">
        <v>#REF!</v>
      </c>
      <c r="D46" t="s">
        <v>222</v>
      </c>
      <c r="E46" t="e">
        <v>#REF!</v>
      </c>
      <c r="G46" t="s">
        <v>402</v>
      </c>
      <c r="H46" t="e">
        <v>#REF!</v>
      </c>
    </row>
    <row r="47" spans="1:8" x14ac:dyDescent="0.25">
      <c r="A47" t="s">
        <v>1366</v>
      </c>
      <c r="B47" t="e">
        <v>#REF!</v>
      </c>
      <c r="D47" t="s">
        <v>151</v>
      </c>
      <c r="E47" t="e">
        <v>#REF!</v>
      </c>
      <c r="G47" t="s">
        <v>222</v>
      </c>
      <c r="H47" t="e">
        <v>#REF!</v>
      </c>
    </row>
    <row r="48" spans="1:8" x14ac:dyDescent="0.25">
      <c r="A48" t="s">
        <v>1367</v>
      </c>
      <c r="B48" t="e">
        <v>#REF!</v>
      </c>
      <c r="D48" t="s">
        <v>389</v>
      </c>
      <c r="E48" t="e">
        <v>#REF!</v>
      </c>
      <c r="G48" t="s">
        <v>253</v>
      </c>
      <c r="H48" t="e">
        <v>#REF!</v>
      </c>
    </row>
    <row r="49" spans="1:8" x14ac:dyDescent="0.25">
      <c r="A49" t="s">
        <v>402</v>
      </c>
      <c r="B49" t="e">
        <v>#REF!</v>
      </c>
      <c r="D49" t="s">
        <v>364</v>
      </c>
      <c r="E49" t="e">
        <v>#REF!</v>
      </c>
      <c r="G49" t="s">
        <v>1341</v>
      </c>
      <c r="H49" t="e">
        <v>#REF!</v>
      </c>
    </row>
    <row r="50" spans="1:8" x14ac:dyDescent="0.25">
      <c r="A50" t="s">
        <v>1368</v>
      </c>
      <c r="B50" t="e">
        <v>#REF!</v>
      </c>
      <c r="D50" t="s">
        <v>104</v>
      </c>
      <c r="E50" t="e">
        <v>#REF!</v>
      </c>
      <c r="G50" t="s">
        <v>1340</v>
      </c>
      <c r="H50" t="e">
        <v>#REF!</v>
      </c>
    </row>
    <row r="51" spans="1:8" x14ac:dyDescent="0.25">
      <c r="A51" t="s">
        <v>149</v>
      </c>
      <c r="B51" t="e">
        <v>#REF!</v>
      </c>
      <c r="D51" t="s">
        <v>973</v>
      </c>
      <c r="E51" t="e">
        <v>#REF!</v>
      </c>
      <c r="G51" t="s">
        <v>278</v>
      </c>
      <c r="H51" t="e">
        <v>#REF!</v>
      </c>
    </row>
  </sheetData>
  <conditionalFormatting sqref="A5">
    <cfRule type="duplicateValues" dxfId="13" priority="1"/>
    <cfRule type="duplicateValues" dxfId="12" priority="2"/>
  </conditionalFormatting>
  <conditionalFormatting sqref="A6 A8 A12 A16:A23 A25 A27 A29:A30 A32:A34 A37:A46 A49 A51">
    <cfRule type="duplicateValues" dxfId="11" priority="8"/>
  </conditionalFormatting>
  <conditionalFormatting sqref="D3 D6:D7 D10:D12 D15 D21:D24 D26 D28:D29 D33:D34 D36:D37 D39:D51">
    <cfRule type="duplicateValues" dxfId="10" priority="19"/>
  </conditionalFormatting>
  <conditionalFormatting sqref="G3:G51">
    <cfRule type="duplicateValues" dxfId="9" priority="29"/>
  </conditionalFormatting>
  <pageMargins left="0.7" right="0.7" top="0.75" bottom="0.75" header="0.3" footer="0.3"/>
  <pageSetup paperSize="9" orientation="portrait" r:id="rId1"/>
  <headerFooter>
    <oddHeader>&amp;CCombined Attendance data
[3 Branches]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51"/>
  <sheetViews>
    <sheetView topLeftCell="AO24" workbookViewId="0">
      <selection activeCell="A2" sqref="A2:AW51"/>
    </sheetView>
  </sheetViews>
  <sheetFormatPr defaultRowHeight="15" x14ac:dyDescent="0.25"/>
  <cols>
    <col min="1" max="1" width="12.5703125" bestFit="1" customWidth="1"/>
    <col min="2" max="2" width="18" bestFit="1" customWidth="1"/>
    <col min="3" max="3" width="14.42578125" bestFit="1" customWidth="1"/>
    <col min="4" max="4" width="9.85546875" bestFit="1" customWidth="1"/>
    <col min="5" max="5" width="24.42578125" bestFit="1" customWidth="1"/>
    <col min="6" max="6" width="27.5703125" bestFit="1" customWidth="1"/>
    <col min="7" max="7" width="16" bestFit="1" customWidth="1"/>
    <col min="8" max="8" width="22.7109375" bestFit="1" customWidth="1"/>
    <col min="9" max="9" width="36.140625" bestFit="1" customWidth="1"/>
    <col min="10" max="10" width="20.42578125" bestFit="1" customWidth="1"/>
    <col min="11" max="11" width="15.42578125" bestFit="1" customWidth="1"/>
    <col min="12" max="12" width="26.5703125" bestFit="1" customWidth="1"/>
    <col min="13" max="13" width="10.140625" bestFit="1" customWidth="1"/>
    <col min="14" max="14" width="17.42578125" bestFit="1" customWidth="1"/>
    <col min="15" max="15" width="16.5703125" bestFit="1" customWidth="1"/>
    <col min="16" max="16" width="22.28515625" bestFit="1" customWidth="1"/>
    <col min="17" max="17" width="8.42578125" bestFit="1" customWidth="1"/>
    <col min="18" max="18" width="14.5703125" bestFit="1" customWidth="1"/>
    <col min="19" max="19" width="10" bestFit="1" customWidth="1"/>
    <col min="20" max="20" width="12.140625" bestFit="1" customWidth="1"/>
    <col min="21" max="21" width="17.85546875" bestFit="1" customWidth="1"/>
    <col min="22" max="22" width="18.7109375" bestFit="1" customWidth="1"/>
    <col min="23" max="23" width="19" bestFit="1" customWidth="1"/>
    <col min="24" max="24" width="14.7109375" bestFit="1" customWidth="1"/>
    <col min="25" max="25" width="18.28515625" bestFit="1" customWidth="1"/>
    <col min="26" max="26" width="16.7109375" bestFit="1" customWidth="1"/>
    <col min="27" max="27" width="17.85546875" bestFit="1" customWidth="1"/>
    <col min="28" max="28" width="24.85546875" style="4" bestFit="1" customWidth="1"/>
    <col min="29" max="29" width="17.140625" bestFit="1" customWidth="1"/>
    <col min="30" max="30" width="18.7109375" bestFit="1" customWidth="1"/>
    <col min="31" max="31" width="24" bestFit="1" customWidth="1"/>
    <col min="32" max="32" width="20.28515625" bestFit="1" customWidth="1"/>
    <col min="33" max="33" width="16.140625" bestFit="1" customWidth="1"/>
    <col min="34" max="34" width="21.140625" bestFit="1" customWidth="1"/>
    <col min="35" max="35" width="32.42578125" bestFit="1" customWidth="1"/>
    <col min="36" max="36" width="25" bestFit="1" customWidth="1"/>
    <col min="37" max="37" width="18.7109375" bestFit="1" customWidth="1"/>
    <col min="38" max="38" width="22.85546875" bestFit="1" customWidth="1"/>
    <col min="39" max="39" width="17.140625" bestFit="1" customWidth="1"/>
    <col min="40" max="40" width="24.140625" bestFit="1" customWidth="1"/>
    <col min="41" max="41" width="18.140625" bestFit="1" customWidth="1"/>
    <col min="42" max="42" width="19.28515625" bestFit="1" customWidth="1"/>
    <col min="43" max="43" width="20.42578125" bestFit="1" customWidth="1"/>
    <col min="44" max="44" width="17" bestFit="1" customWidth="1"/>
    <col min="45" max="45" width="18.7109375" bestFit="1" customWidth="1"/>
    <col min="46" max="46" width="13.85546875" bestFit="1" customWidth="1"/>
    <col min="47" max="47" width="33.5703125" bestFit="1" customWidth="1"/>
    <col min="48" max="48" width="16.5703125" bestFit="1" customWidth="1"/>
    <col min="49" max="49" width="20.14062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4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178</v>
      </c>
      <c r="B2" t="s">
        <v>267</v>
      </c>
      <c r="C2" t="s">
        <v>180</v>
      </c>
      <c r="D2" t="s">
        <v>52</v>
      </c>
      <c r="E2" t="s">
        <v>182</v>
      </c>
      <c r="F2" t="s">
        <v>183</v>
      </c>
      <c r="G2" t="s">
        <v>184</v>
      </c>
      <c r="H2" t="s">
        <v>1389</v>
      </c>
      <c r="I2">
        <v>82</v>
      </c>
      <c r="J2" t="s">
        <v>185</v>
      </c>
      <c r="K2" t="s">
        <v>59</v>
      </c>
      <c r="L2">
        <v>6</v>
      </c>
      <c r="M2" t="s">
        <v>60</v>
      </c>
      <c r="N2" t="s">
        <v>186</v>
      </c>
      <c r="O2" t="s">
        <v>187</v>
      </c>
      <c r="P2" t="s">
        <v>188</v>
      </c>
      <c r="Q2" t="s">
        <v>116</v>
      </c>
      <c r="R2" t="s">
        <v>65</v>
      </c>
      <c r="S2" t="s">
        <v>66</v>
      </c>
      <c r="T2" t="s">
        <v>67</v>
      </c>
      <c r="U2" t="s">
        <v>189</v>
      </c>
      <c r="V2" t="s">
        <v>190</v>
      </c>
      <c r="W2">
        <v>43018</v>
      </c>
      <c r="X2">
        <v>39256</v>
      </c>
      <c r="Y2">
        <v>3762</v>
      </c>
      <c r="Z2">
        <v>4189</v>
      </c>
      <c r="AA2" t="s">
        <v>70</v>
      </c>
      <c r="AB2" s="4">
        <f t="shared" ref="AB2:AB33" ca="1" si="0">RANDBETWEEN(DATE(2025,7,1),DATE(2025,12,31))</f>
        <v>46020</v>
      </c>
      <c r="AC2" t="s">
        <v>71</v>
      </c>
      <c r="AD2" t="s">
        <v>191</v>
      </c>
      <c r="AE2">
        <v>5</v>
      </c>
      <c r="AF2">
        <v>41</v>
      </c>
      <c r="AG2">
        <v>77</v>
      </c>
      <c r="AH2" t="s">
        <v>73</v>
      </c>
      <c r="AI2">
        <v>81</v>
      </c>
      <c r="AJ2">
        <v>24</v>
      </c>
      <c r="AK2">
        <v>24</v>
      </c>
      <c r="AL2" t="s">
        <v>97</v>
      </c>
      <c r="AM2">
        <v>100</v>
      </c>
      <c r="AN2" t="s">
        <v>98</v>
      </c>
      <c r="AO2">
        <v>3</v>
      </c>
      <c r="AP2">
        <v>5</v>
      </c>
      <c r="AQ2" t="s">
        <v>123</v>
      </c>
      <c r="AR2" t="s">
        <v>192</v>
      </c>
      <c r="AS2" t="s">
        <v>70</v>
      </c>
      <c r="AT2" t="s">
        <v>177</v>
      </c>
      <c r="AU2" t="s">
        <v>126</v>
      </c>
      <c r="AV2" t="s">
        <v>78</v>
      </c>
      <c r="AW2" t="s">
        <v>102</v>
      </c>
    </row>
    <row r="3" spans="1:49" x14ac:dyDescent="0.25">
      <c r="A3" t="s">
        <v>599</v>
      </c>
      <c r="B3" t="s">
        <v>1352</v>
      </c>
      <c r="C3" t="s">
        <v>600</v>
      </c>
      <c r="D3" t="s">
        <v>52</v>
      </c>
      <c r="E3" t="s">
        <v>601</v>
      </c>
      <c r="F3" t="s">
        <v>602</v>
      </c>
      <c r="G3" t="s">
        <v>603</v>
      </c>
      <c r="H3" t="s">
        <v>135</v>
      </c>
      <c r="I3">
        <v>87</v>
      </c>
      <c r="J3" t="s">
        <v>604</v>
      </c>
      <c r="K3" t="s">
        <v>59</v>
      </c>
      <c r="L3">
        <v>3</v>
      </c>
      <c r="M3" t="s">
        <v>112</v>
      </c>
      <c r="N3" t="s">
        <v>90</v>
      </c>
      <c r="O3" t="s">
        <v>69</v>
      </c>
      <c r="P3" t="s">
        <v>559</v>
      </c>
      <c r="Q3" t="s">
        <v>116</v>
      </c>
      <c r="R3" t="s">
        <v>140</v>
      </c>
      <c r="S3" t="s">
        <v>141</v>
      </c>
      <c r="T3" t="s">
        <v>273</v>
      </c>
      <c r="U3" t="s">
        <v>598</v>
      </c>
      <c r="V3" t="s">
        <v>137</v>
      </c>
      <c r="W3">
        <v>20086</v>
      </c>
      <c r="X3">
        <v>19800</v>
      </c>
      <c r="Y3">
        <v>286</v>
      </c>
      <c r="Z3">
        <v>1952</v>
      </c>
      <c r="AA3" t="s">
        <v>70</v>
      </c>
      <c r="AB3" s="4">
        <f t="shared" ca="1" si="0"/>
        <v>45917</v>
      </c>
      <c r="AC3" t="s">
        <v>71</v>
      </c>
      <c r="AD3" t="s">
        <v>95</v>
      </c>
      <c r="AE3">
        <v>9</v>
      </c>
      <c r="AF3">
        <v>67</v>
      </c>
      <c r="AG3">
        <v>86</v>
      </c>
      <c r="AH3" t="s">
        <v>96</v>
      </c>
      <c r="AI3">
        <v>67</v>
      </c>
      <c r="AJ3">
        <v>22</v>
      </c>
      <c r="AK3">
        <v>22</v>
      </c>
      <c r="AM3">
        <v>100</v>
      </c>
      <c r="AN3" t="s">
        <v>70</v>
      </c>
      <c r="AO3">
        <v>5</v>
      </c>
      <c r="AP3">
        <v>4</v>
      </c>
      <c r="AQ3" t="s">
        <v>450</v>
      </c>
      <c r="AR3" t="s">
        <v>605</v>
      </c>
      <c r="AS3" t="s">
        <v>70</v>
      </c>
      <c r="AT3" t="s">
        <v>101</v>
      </c>
      <c r="AU3" t="s">
        <v>77</v>
      </c>
      <c r="AV3" t="s">
        <v>78</v>
      </c>
      <c r="AW3" t="s">
        <v>276</v>
      </c>
    </row>
    <row r="4" spans="1:49" x14ac:dyDescent="0.25">
      <c r="A4" t="s">
        <v>288</v>
      </c>
      <c r="B4" t="s">
        <v>1387</v>
      </c>
      <c r="C4" t="s">
        <v>289</v>
      </c>
      <c r="D4" t="s">
        <v>52</v>
      </c>
      <c r="E4" t="s">
        <v>290</v>
      </c>
      <c r="F4" t="s">
        <v>291</v>
      </c>
      <c r="G4" t="s">
        <v>292</v>
      </c>
      <c r="H4" t="s">
        <v>1391</v>
      </c>
      <c r="I4">
        <v>79</v>
      </c>
      <c r="J4" t="s">
        <v>293</v>
      </c>
      <c r="K4" t="s">
        <v>294</v>
      </c>
      <c r="L4">
        <v>6</v>
      </c>
      <c r="M4" t="s">
        <v>89</v>
      </c>
      <c r="N4" t="s">
        <v>295</v>
      </c>
      <c r="O4" t="s">
        <v>296</v>
      </c>
      <c r="P4" t="s">
        <v>297</v>
      </c>
      <c r="Q4" t="s">
        <v>64</v>
      </c>
      <c r="R4" t="s">
        <v>140</v>
      </c>
      <c r="S4" t="s">
        <v>219</v>
      </c>
      <c r="T4" t="s">
        <v>205</v>
      </c>
      <c r="U4" t="s">
        <v>247</v>
      </c>
      <c r="V4" t="s">
        <v>260</v>
      </c>
      <c r="W4">
        <v>33714</v>
      </c>
      <c r="X4">
        <v>33476</v>
      </c>
      <c r="Y4">
        <v>238</v>
      </c>
      <c r="Z4">
        <v>1249</v>
      </c>
      <c r="AA4" t="s">
        <v>98</v>
      </c>
      <c r="AB4" s="4">
        <f t="shared" ca="1" si="0"/>
        <v>45999</v>
      </c>
      <c r="AC4" t="s">
        <v>71</v>
      </c>
      <c r="AD4" t="s">
        <v>95</v>
      </c>
      <c r="AE4">
        <v>8</v>
      </c>
      <c r="AF4">
        <v>66</v>
      </c>
      <c r="AG4">
        <v>79</v>
      </c>
      <c r="AH4" t="s">
        <v>234</v>
      </c>
      <c r="AI4">
        <v>85</v>
      </c>
      <c r="AJ4">
        <v>51</v>
      </c>
      <c r="AK4">
        <v>50</v>
      </c>
      <c r="AM4">
        <v>100</v>
      </c>
      <c r="AN4" t="s">
        <v>70</v>
      </c>
      <c r="AO4">
        <v>2</v>
      </c>
      <c r="AP4">
        <v>5</v>
      </c>
      <c r="AQ4" t="s">
        <v>220</v>
      </c>
      <c r="AR4" t="s">
        <v>207</v>
      </c>
      <c r="AS4" t="s">
        <v>70</v>
      </c>
      <c r="AT4" t="s">
        <v>125</v>
      </c>
      <c r="AU4" t="s">
        <v>77</v>
      </c>
      <c r="AV4" t="s">
        <v>78</v>
      </c>
      <c r="AW4" t="s">
        <v>102</v>
      </c>
    </row>
    <row r="5" spans="1:49" x14ac:dyDescent="0.25">
      <c r="A5" t="s">
        <v>568</v>
      </c>
      <c r="B5" t="s">
        <v>569</v>
      </c>
      <c r="C5" t="s">
        <v>570</v>
      </c>
      <c r="D5" t="s">
        <v>130</v>
      </c>
      <c r="E5" t="s">
        <v>571</v>
      </c>
      <c r="F5" t="s">
        <v>572</v>
      </c>
      <c r="G5" t="s">
        <v>540</v>
      </c>
      <c r="H5" t="s">
        <v>1388</v>
      </c>
      <c r="I5">
        <v>70</v>
      </c>
      <c r="J5" t="s">
        <v>573</v>
      </c>
      <c r="K5" t="s">
        <v>169</v>
      </c>
      <c r="L5">
        <v>6</v>
      </c>
      <c r="M5" t="s">
        <v>89</v>
      </c>
      <c r="N5" t="s">
        <v>438</v>
      </c>
      <c r="O5" t="s">
        <v>192</v>
      </c>
      <c r="P5" t="s">
        <v>172</v>
      </c>
      <c r="Q5" t="s">
        <v>64</v>
      </c>
      <c r="R5" t="s">
        <v>65</v>
      </c>
      <c r="S5" t="s">
        <v>219</v>
      </c>
      <c r="T5" t="s">
        <v>142</v>
      </c>
      <c r="U5" t="s">
        <v>94</v>
      </c>
      <c r="V5" t="s">
        <v>502</v>
      </c>
      <c r="W5">
        <v>26521</v>
      </c>
      <c r="X5">
        <v>25742</v>
      </c>
      <c r="Y5">
        <v>779</v>
      </c>
      <c r="Z5">
        <v>1089</v>
      </c>
      <c r="AA5" t="s">
        <v>70</v>
      </c>
      <c r="AB5" s="4">
        <f t="shared" ca="1" si="0"/>
        <v>45923</v>
      </c>
      <c r="AC5" t="s">
        <v>71</v>
      </c>
      <c r="AD5" t="s">
        <v>191</v>
      </c>
      <c r="AE5">
        <v>7</v>
      </c>
      <c r="AF5">
        <v>79</v>
      </c>
      <c r="AG5">
        <v>79</v>
      </c>
      <c r="AH5" t="s">
        <v>96</v>
      </c>
      <c r="AI5">
        <v>78</v>
      </c>
      <c r="AJ5">
        <v>36</v>
      </c>
      <c r="AK5">
        <v>35</v>
      </c>
      <c r="AM5">
        <v>97</v>
      </c>
      <c r="AN5" t="s">
        <v>98</v>
      </c>
      <c r="AO5">
        <v>5</v>
      </c>
      <c r="AP5">
        <v>1</v>
      </c>
      <c r="AQ5" t="s">
        <v>99</v>
      </c>
      <c r="AR5" t="s">
        <v>574</v>
      </c>
      <c r="AS5" t="s">
        <v>98</v>
      </c>
      <c r="AT5" t="s">
        <v>101</v>
      </c>
      <c r="AU5" t="s">
        <v>77</v>
      </c>
      <c r="AV5" t="s">
        <v>78</v>
      </c>
      <c r="AW5" t="s">
        <v>79</v>
      </c>
    </row>
    <row r="6" spans="1:49" x14ac:dyDescent="0.25">
      <c r="A6" t="s">
        <v>311</v>
      </c>
      <c r="B6" t="s">
        <v>1353</v>
      </c>
      <c r="C6" t="s">
        <v>312</v>
      </c>
      <c r="D6" t="s">
        <v>52</v>
      </c>
      <c r="E6" t="s">
        <v>314</v>
      </c>
      <c r="F6" t="s">
        <v>315</v>
      </c>
      <c r="G6" t="s">
        <v>316</v>
      </c>
      <c r="H6" t="s">
        <v>87</v>
      </c>
      <c r="I6">
        <v>75</v>
      </c>
      <c r="J6" t="s">
        <v>317</v>
      </c>
      <c r="K6" t="s">
        <v>294</v>
      </c>
      <c r="L6">
        <v>12</v>
      </c>
      <c r="M6" t="s">
        <v>89</v>
      </c>
      <c r="N6" t="s">
        <v>318</v>
      </c>
      <c r="O6" t="s">
        <v>319</v>
      </c>
      <c r="P6" t="s">
        <v>320</v>
      </c>
      <c r="Q6" t="s">
        <v>116</v>
      </c>
      <c r="R6" t="s">
        <v>65</v>
      </c>
      <c r="S6" t="s">
        <v>141</v>
      </c>
      <c r="T6" t="s">
        <v>142</v>
      </c>
      <c r="U6" t="s">
        <v>321</v>
      </c>
      <c r="V6" t="s">
        <v>321</v>
      </c>
      <c r="W6">
        <v>41229</v>
      </c>
      <c r="X6">
        <v>40571</v>
      </c>
      <c r="Y6">
        <v>658</v>
      </c>
      <c r="Z6">
        <v>4623</v>
      </c>
      <c r="AA6" t="s">
        <v>98</v>
      </c>
      <c r="AB6" s="4">
        <f t="shared" ca="1" si="0"/>
        <v>45864</v>
      </c>
      <c r="AC6" t="s">
        <v>71</v>
      </c>
      <c r="AD6" t="s">
        <v>95</v>
      </c>
      <c r="AE6">
        <v>6</v>
      </c>
      <c r="AF6">
        <v>41</v>
      </c>
      <c r="AG6">
        <v>93</v>
      </c>
      <c r="AH6" t="s">
        <v>234</v>
      </c>
      <c r="AI6">
        <v>85</v>
      </c>
      <c r="AJ6">
        <v>33</v>
      </c>
      <c r="AK6">
        <v>32</v>
      </c>
      <c r="AM6">
        <v>96</v>
      </c>
      <c r="AN6" t="s">
        <v>98</v>
      </c>
      <c r="AO6">
        <v>1</v>
      </c>
      <c r="AP6">
        <v>1</v>
      </c>
      <c r="AQ6" t="s">
        <v>322</v>
      </c>
      <c r="AR6" t="s">
        <v>209</v>
      </c>
      <c r="AS6" t="s">
        <v>98</v>
      </c>
      <c r="AT6" t="s">
        <v>101</v>
      </c>
      <c r="AU6" t="s">
        <v>160</v>
      </c>
      <c r="AV6" t="s">
        <v>78</v>
      </c>
      <c r="AW6" t="s">
        <v>102</v>
      </c>
    </row>
    <row r="7" spans="1:49" x14ac:dyDescent="0.25">
      <c r="A7" t="s">
        <v>49</v>
      </c>
      <c r="B7" t="s">
        <v>50</v>
      </c>
      <c r="C7" t="s">
        <v>51</v>
      </c>
      <c r="D7" t="s">
        <v>52</v>
      </c>
      <c r="E7" t="s">
        <v>54</v>
      </c>
      <c r="F7" t="s">
        <v>55</v>
      </c>
      <c r="G7" t="s">
        <v>56</v>
      </c>
      <c r="H7" t="s">
        <v>1391</v>
      </c>
      <c r="I7">
        <v>77</v>
      </c>
      <c r="J7" t="s">
        <v>58</v>
      </c>
      <c r="K7" t="s">
        <v>59</v>
      </c>
      <c r="L7">
        <v>12</v>
      </c>
      <c r="M7" t="s">
        <v>60</v>
      </c>
      <c r="N7" t="s">
        <v>61</v>
      </c>
      <c r="O7" t="s">
        <v>62</v>
      </c>
      <c r="P7" t="s">
        <v>63</v>
      </c>
      <c r="Q7" t="s">
        <v>64</v>
      </c>
      <c r="R7" t="s">
        <v>65</v>
      </c>
      <c r="S7" t="s">
        <v>66</v>
      </c>
      <c r="T7" t="s">
        <v>67</v>
      </c>
      <c r="U7" t="s">
        <v>68</v>
      </c>
      <c r="V7" t="s">
        <v>69</v>
      </c>
      <c r="W7">
        <v>42851</v>
      </c>
      <c r="X7">
        <v>40171</v>
      </c>
      <c r="Y7">
        <v>2680</v>
      </c>
      <c r="Z7">
        <v>4474</v>
      </c>
      <c r="AA7" t="s">
        <v>70</v>
      </c>
      <c r="AB7" s="4">
        <f t="shared" ca="1" si="0"/>
        <v>45892</v>
      </c>
      <c r="AC7" t="s">
        <v>71</v>
      </c>
      <c r="AD7" t="s">
        <v>72</v>
      </c>
      <c r="AE7">
        <v>1</v>
      </c>
      <c r="AF7">
        <v>46</v>
      </c>
      <c r="AG7">
        <v>96</v>
      </c>
      <c r="AH7" t="s">
        <v>73</v>
      </c>
      <c r="AI7">
        <v>71</v>
      </c>
      <c r="AJ7">
        <v>45</v>
      </c>
      <c r="AK7">
        <v>43</v>
      </c>
      <c r="AM7">
        <v>95</v>
      </c>
      <c r="AN7" t="s">
        <v>70</v>
      </c>
      <c r="AO7">
        <v>2</v>
      </c>
      <c r="AP7">
        <v>4</v>
      </c>
      <c r="AQ7" t="s">
        <v>74</v>
      </c>
      <c r="AR7" t="s">
        <v>75</v>
      </c>
      <c r="AS7" t="s">
        <v>70</v>
      </c>
      <c r="AT7" t="s">
        <v>76</v>
      </c>
      <c r="AU7" t="s">
        <v>77</v>
      </c>
      <c r="AV7" t="s">
        <v>78</v>
      </c>
      <c r="AW7" t="s">
        <v>79</v>
      </c>
    </row>
    <row r="8" spans="1:49" x14ac:dyDescent="0.25">
      <c r="A8" t="s">
        <v>451</v>
      </c>
      <c r="B8" t="s">
        <v>1354</v>
      </c>
      <c r="C8" t="s">
        <v>452</v>
      </c>
      <c r="D8" t="s">
        <v>130</v>
      </c>
      <c r="E8" t="s">
        <v>453</v>
      </c>
      <c r="F8" t="s">
        <v>454</v>
      </c>
      <c r="G8" t="s">
        <v>455</v>
      </c>
      <c r="H8" t="s">
        <v>1388</v>
      </c>
      <c r="I8">
        <v>94</v>
      </c>
      <c r="J8" t="s">
        <v>456</v>
      </c>
      <c r="K8" t="s">
        <v>294</v>
      </c>
      <c r="L8">
        <v>3</v>
      </c>
      <c r="M8" t="s">
        <v>112</v>
      </c>
      <c r="N8" t="s">
        <v>457</v>
      </c>
      <c r="O8" t="s">
        <v>174</v>
      </c>
      <c r="P8" t="s">
        <v>172</v>
      </c>
      <c r="Q8" t="s">
        <v>204</v>
      </c>
      <c r="R8" t="s">
        <v>140</v>
      </c>
      <c r="S8" t="s">
        <v>66</v>
      </c>
      <c r="T8" t="s">
        <v>118</v>
      </c>
      <c r="U8" t="s">
        <v>321</v>
      </c>
      <c r="V8" t="s">
        <v>246</v>
      </c>
      <c r="W8">
        <v>21243</v>
      </c>
      <c r="X8">
        <v>20076</v>
      </c>
      <c r="Y8">
        <v>1167</v>
      </c>
      <c r="Z8">
        <v>3153</v>
      </c>
      <c r="AA8" t="s">
        <v>98</v>
      </c>
      <c r="AB8" s="4">
        <f t="shared" ca="1" si="0"/>
        <v>45982</v>
      </c>
      <c r="AC8" t="s">
        <v>71</v>
      </c>
      <c r="AD8" t="s">
        <v>121</v>
      </c>
      <c r="AE8">
        <v>2</v>
      </c>
      <c r="AF8">
        <v>67</v>
      </c>
      <c r="AG8">
        <v>70</v>
      </c>
      <c r="AH8" t="s">
        <v>234</v>
      </c>
      <c r="AI8">
        <v>82</v>
      </c>
      <c r="AJ8">
        <v>60</v>
      </c>
      <c r="AK8">
        <v>57</v>
      </c>
      <c r="AL8" t="s">
        <v>97</v>
      </c>
      <c r="AM8">
        <v>95</v>
      </c>
      <c r="AN8" t="s">
        <v>98</v>
      </c>
      <c r="AO8">
        <v>5</v>
      </c>
      <c r="AP8">
        <v>4</v>
      </c>
      <c r="AQ8" t="s">
        <v>275</v>
      </c>
      <c r="AR8" t="s">
        <v>209</v>
      </c>
      <c r="AS8" t="s">
        <v>98</v>
      </c>
      <c r="AT8" t="s">
        <v>287</v>
      </c>
      <c r="AU8" t="s">
        <v>160</v>
      </c>
      <c r="AV8" t="s">
        <v>147</v>
      </c>
    </row>
    <row r="9" spans="1:49" x14ac:dyDescent="0.25">
      <c r="A9" t="s">
        <v>277</v>
      </c>
      <c r="B9" t="s">
        <v>1356</v>
      </c>
      <c r="C9" t="s">
        <v>279</v>
      </c>
      <c r="D9" t="s">
        <v>130</v>
      </c>
      <c r="E9" t="s">
        <v>280</v>
      </c>
      <c r="F9" t="s">
        <v>281</v>
      </c>
      <c r="G9" t="s">
        <v>282</v>
      </c>
      <c r="H9" t="s">
        <v>135</v>
      </c>
      <c r="I9">
        <v>62</v>
      </c>
      <c r="J9" t="s">
        <v>283</v>
      </c>
      <c r="K9" t="s">
        <v>242</v>
      </c>
      <c r="L9">
        <v>12</v>
      </c>
      <c r="M9" t="s">
        <v>89</v>
      </c>
      <c r="N9" t="s">
        <v>201</v>
      </c>
      <c r="O9" t="s">
        <v>284</v>
      </c>
      <c r="P9" t="s">
        <v>285</v>
      </c>
      <c r="Q9" t="s">
        <v>204</v>
      </c>
      <c r="R9" t="s">
        <v>65</v>
      </c>
      <c r="S9" t="s">
        <v>117</v>
      </c>
      <c r="T9" t="s">
        <v>142</v>
      </c>
      <c r="U9" t="s">
        <v>274</v>
      </c>
      <c r="V9" t="s">
        <v>274</v>
      </c>
      <c r="W9">
        <v>24474</v>
      </c>
      <c r="X9">
        <v>20873</v>
      </c>
      <c r="Y9">
        <v>3601</v>
      </c>
      <c r="Z9">
        <v>4292</v>
      </c>
      <c r="AA9" t="s">
        <v>70</v>
      </c>
      <c r="AB9" s="4">
        <f t="shared" ca="1" si="0"/>
        <v>45930</v>
      </c>
      <c r="AC9" t="s">
        <v>71</v>
      </c>
      <c r="AD9" t="s">
        <v>72</v>
      </c>
      <c r="AE9">
        <v>6</v>
      </c>
      <c r="AF9">
        <v>44</v>
      </c>
      <c r="AG9">
        <v>50</v>
      </c>
      <c r="AH9" t="s">
        <v>234</v>
      </c>
      <c r="AI9">
        <v>91</v>
      </c>
      <c r="AJ9">
        <v>34</v>
      </c>
      <c r="AK9">
        <v>32</v>
      </c>
      <c r="AM9">
        <v>94</v>
      </c>
      <c r="AN9" t="s">
        <v>70</v>
      </c>
      <c r="AO9">
        <v>2</v>
      </c>
      <c r="AP9">
        <v>1</v>
      </c>
      <c r="AQ9" t="s">
        <v>229</v>
      </c>
      <c r="AR9" t="s">
        <v>286</v>
      </c>
      <c r="AS9" t="s">
        <v>70</v>
      </c>
      <c r="AT9" t="s">
        <v>287</v>
      </c>
      <c r="AU9" t="s">
        <v>126</v>
      </c>
      <c r="AV9" t="s">
        <v>147</v>
      </c>
    </row>
    <row r="10" spans="1:49" x14ac:dyDescent="0.25">
      <c r="A10" t="s">
        <v>323</v>
      </c>
      <c r="B10" t="s">
        <v>1355</v>
      </c>
      <c r="C10" t="s">
        <v>324</v>
      </c>
      <c r="D10" t="s">
        <v>130</v>
      </c>
      <c r="E10" t="s">
        <v>325</v>
      </c>
      <c r="F10" t="s">
        <v>326</v>
      </c>
      <c r="G10" t="s">
        <v>327</v>
      </c>
      <c r="H10" t="s">
        <v>135</v>
      </c>
      <c r="I10">
        <v>71</v>
      </c>
      <c r="J10" t="s">
        <v>328</v>
      </c>
      <c r="K10" t="s">
        <v>294</v>
      </c>
      <c r="L10">
        <v>12</v>
      </c>
      <c r="M10" t="s">
        <v>89</v>
      </c>
      <c r="N10" t="s">
        <v>329</v>
      </c>
      <c r="O10" t="s">
        <v>330</v>
      </c>
      <c r="P10" t="s">
        <v>331</v>
      </c>
      <c r="Q10" t="s">
        <v>64</v>
      </c>
      <c r="R10" t="s">
        <v>65</v>
      </c>
      <c r="S10" t="s">
        <v>117</v>
      </c>
      <c r="T10" t="s">
        <v>142</v>
      </c>
      <c r="U10" t="s">
        <v>157</v>
      </c>
      <c r="V10" t="s">
        <v>332</v>
      </c>
      <c r="W10">
        <v>29689</v>
      </c>
      <c r="X10">
        <v>28607</v>
      </c>
      <c r="Y10">
        <v>1082</v>
      </c>
      <c r="Z10">
        <v>1301</v>
      </c>
      <c r="AA10" t="s">
        <v>98</v>
      </c>
      <c r="AB10" s="4">
        <f t="shared" ca="1" si="0"/>
        <v>45897</v>
      </c>
      <c r="AC10" t="s">
        <v>71</v>
      </c>
      <c r="AD10" t="s">
        <v>72</v>
      </c>
      <c r="AE10">
        <v>4</v>
      </c>
      <c r="AF10">
        <v>54</v>
      </c>
      <c r="AG10">
        <v>74</v>
      </c>
      <c r="AH10" t="s">
        <v>234</v>
      </c>
      <c r="AI10">
        <v>90</v>
      </c>
      <c r="AJ10">
        <v>56</v>
      </c>
      <c r="AK10">
        <v>53</v>
      </c>
      <c r="AL10" t="s">
        <v>97</v>
      </c>
      <c r="AM10">
        <v>94</v>
      </c>
      <c r="AN10" t="s">
        <v>98</v>
      </c>
      <c r="AO10">
        <v>2</v>
      </c>
      <c r="AP10">
        <v>5</v>
      </c>
      <c r="AQ10" t="s">
        <v>333</v>
      </c>
      <c r="AR10" t="s">
        <v>190</v>
      </c>
      <c r="AS10" t="s">
        <v>70</v>
      </c>
      <c r="AT10" t="s">
        <v>101</v>
      </c>
      <c r="AU10" t="s">
        <v>77</v>
      </c>
      <c r="AV10" t="s">
        <v>78</v>
      </c>
      <c r="AW10" t="s">
        <v>276</v>
      </c>
    </row>
    <row r="11" spans="1:49" x14ac:dyDescent="0.25">
      <c r="A11" t="s">
        <v>343</v>
      </c>
      <c r="B11" t="s">
        <v>344</v>
      </c>
      <c r="C11" t="s">
        <v>345</v>
      </c>
      <c r="D11" t="s">
        <v>130</v>
      </c>
      <c r="E11" t="s">
        <v>346</v>
      </c>
      <c r="F11" t="s">
        <v>347</v>
      </c>
      <c r="G11" t="s">
        <v>348</v>
      </c>
      <c r="H11" t="s">
        <v>135</v>
      </c>
      <c r="I11">
        <v>67</v>
      </c>
      <c r="J11" t="s">
        <v>349</v>
      </c>
      <c r="K11" t="s">
        <v>242</v>
      </c>
      <c r="L11">
        <v>3</v>
      </c>
      <c r="M11" t="s">
        <v>89</v>
      </c>
      <c r="N11" t="s">
        <v>262</v>
      </c>
      <c r="O11" t="s">
        <v>350</v>
      </c>
      <c r="P11" t="s">
        <v>139</v>
      </c>
      <c r="Q11" t="s">
        <v>204</v>
      </c>
      <c r="R11" t="s">
        <v>65</v>
      </c>
      <c r="S11" t="s">
        <v>219</v>
      </c>
      <c r="T11" t="s">
        <v>142</v>
      </c>
      <c r="U11" t="s">
        <v>170</v>
      </c>
      <c r="V11" t="s">
        <v>248</v>
      </c>
      <c r="W11">
        <v>15521</v>
      </c>
      <c r="X11">
        <v>15338</v>
      </c>
      <c r="Y11">
        <v>183</v>
      </c>
      <c r="Z11">
        <v>1968</v>
      </c>
      <c r="AA11" t="s">
        <v>70</v>
      </c>
      <c r="AB11" s="4">
        <f t="shared" ca="1" si="0"/>
        <v>45994</v>
      </c>
      <c r="AC11" t="s">
        <v>71</v>
      </c>
      <c r="AD11" t="s">
        <v>95</v>
      </c>
      <c r="AE11">
        <v>5</v>
      </c>
      <c r="AF11">
        <v>81</v>
      </c>
      <c r="AG11">
        <v>87</v>
      </c>
      <c r="AH11" t="s">
        <v>73</v>
      </c>
      <c r="AI11">
        <v>77</v>
      </c>
      <c r="AJ11">
        <v>56</v>
      </c>
      <c r="AK11">
        <v>53</v>
      </c>
      <c r="AL11" t="s">
        <v>122</v>
      </c>
      <c r="AM11">
        <v>94</v>
      </c>
      <c r="AN11" t="s">
        <v>98</v>
      </c>
      <c r="AO11">
        <v>2</v>
      </c>
      <c r="AP11">
        <v>4</v>
      </c>
      <c r="AQ11" t="s">
        <v>351</v>
      </c>
      <c r="AR11" t="s">
        <v>352</v>
      </c>
      <c r="AS11" t="s">
        <v>70</v>
      </c>
      <c r="AT11" t="s">
        <v>125</v>
      </c>
      <c r="AU11" t="s">
        <v>77</v>
      </c>
      <c r="AV11" t="s">
        <v>78</v>
      </c>
      <c r="AW11" t="s">
        <v>102</v>
      </c>
    </row>
    <row r="12" spans="1:49" x14ac:dyDescent="0.25">
      <c r="A12" t="s">
        <v>591</v>
      </c>
      <c r="B12" t="s">
        <v>1357</v>
      </c>
      <c r="C12" t="s">
        <v>592</v>
      </c>
      <c r="D12" t="s">
        <v>130</v>
      </c>
      <c r="E12" t="s">
        <v>593</v>
      </c>
      <c r="F12" t="s">
        <v>594</v>
      </c>
      <c r="G12" t="s">
        <v>434</v>
      </c>
      <c r="H12" t="s">
        <v>1391</v>
      </c>
      <c r="I12">
        <v>76</v>
      </c>
      <c r="J12" t="s">
        <v>595</v>
      </c>
      <c r="K12" t="s">
        <v>242</v>
      </c>
      <c r="L12">
        <v>6</v>
      </c>
      <c r="M12" t="s">
        <v>89</v>
      </c>
      <c r="N12" t="s">
        <v>475</v>
      </c>
      <c r="O12" t="s">
        <v>596</v>
      </c>
      <c r="P12" t="s">
        <v>188</v>
      </c>
      <c r="Q12" t="s">
        <v>64</v>
      </c>
      <c r="R12" t="s">
        <v>140</v>
      </c>
      <c r="S12" t="s">
        <v>141</v>
      </c>
      <c r="T12" t="s">
        <v>118</v>
      </c>
      <c r="U12" t="s">
        <v>597</v>
      </c>
      <c r="V12" t="s">
        <v>426</v>
      </c>
      <c r="W12">
        <v>47666</v>
      </c>
      <c r="X12">
        <v>47504</v>
      </c>
      <c r="Y12">
        <v>162</v>
      </c>
      <c r="Z12">
        <v>365</v>
      </c>
      <c r="AA12" t="s">
        <v>98</v>
      </c>
      <c r="AB12" s="4">
        <f t="shared" ca="1" si="0"/>
        <v>45953</v>
      </c>
      <c r="AC12" t="s">
        <v>71</v>
      </c>
      <c r="AD12" t="s">
        <v>95</v>
      </c>
      <c r="AE12">
        <v>6</v>
      </c>
      <c r="AF12">
        <v>73</v>
      </c>
      <c r="AG12">
        <v>82</v>
      </c>
      <c r="AH12" t="s">
        <v>96</v>
      </c>
      <c r="AI12">
        <v>75</v>
      </c>
      <c r="AJ12">
        <v>25</v>
      </c>
      <c r="AK12">
        <v>23</v>
      </c>
      <c r="AL12" t="s">
        <v>97</v>
      </c>
      <c r="AM12">
        <v>92</v>
      </c>
      <c r="AN12" t="s">
        <v>98</v>
      </c>
      <c r="AO12">
        <v>4</v>
      </c>
      <c r="AP12">
        <v>3</v>
      </c>
      <c r="AQ12" t="s">
        <v>206</v>
      </c>
      <c r="AR12" t="s">
        <v>598</v>
      </c>
      <c r="AS12" t="s">
        <v>70</v>
      </c>
      <c r="AT12" t="s">
        <v>287</v>
      </c>
      <c r="AU12" t="s">
        <v>77</v>
      </c>
      <c r="AV12" t="s">
        <v>78</v>
      </c>
      <c r="AW12" t="s">
        <v>276</v>
      </c>
    </row>
    <row r="13" spans="1:49" x14ac:dyDescent="0.25">
      <c r="A13" t="s">
        <v>430</v>
      </c>
      <c r="B13" t="s">
        <v>1358</v>
      </c>
      <c r="C13" t="s">
        <v>431</v>
      </c>
      <c r="D13" t="s">
        <v>52</v>
      </c>
      <c r="E13" t="s">
        <v>432</v>
      </c>
      <c r="F13" t="s">
        <v>433</v>
      </c>
      <c r="G13" t="s">
        <v>434</v>
      </c>
      <c r="H13" t="s">
        <v>135</v>
      </c>
      <c r="I13">
        <v>84</v>
      </c>
      <c r="J13" t="s">
        <v>435</v>
      </c>
      <c r="K13" t="s">
        <v>242</v>
      </c>
      <c r="L13">
        <v>12</v>
      </c>
      <c r="M13" t="s">
        <v>89</v>
      </c>
      <c r="N13" t="s">
        <v>436</v>
      </c>
      <c r="O13" t="s">
        <v>437</v>
      </c>
      <c r="P13" t="s">
        <v>92</v>
      </c>
      <c r="Q13" t="s">
        <v>64</v>
      </c>
      <c r="R13" t="s">
        <v>140</v>
      </c>
      <c r="S13" t="s">
        <v>141</v>
      </c>
      <c r="T13" t="s">
        <v>118</v>
      </c>
      <c r="U13" t="s">
        <v>438</v>
      </c>
      <c r="V13" t="s">
        <v>439</v>
      </c>
      <c r="W13">
        <v>31688</v>
      </c>
      <c r="X13">
        <v>31188</v>
      </c>
      <c r="Y13">
        <v>500</v>
      </c>
      <c r="Z13">
        <v>1442</v>
      </c>
      <c r="AA13" t="s">
        <v>70</v>
      </c>
      <c r="AB13" s="4">
        <f t="shared" ca="1" si="0"/>
        <v>45859</v>
      </c>
      <c r="AC13" t="s">
        <v>71</v>
      </c>
      <c r="AD13" t="s">
        <v>121</v>
      </c>
      <c r="AE13">
        <v>10</v>
      </c>
      <c r="AF13">
        <v>71</v>
      </c>
      <c r="AG13">
        <v>91</v>
      </c>
      <c r="AH13" t="s">
        <v>96</v>
      </c>
      <c r="AI13">
        <v>80</v>
      </c>
      <c r="AJ13">
        <v>24</v>
      </c>
      <c r="AK13">
        <v>22</v>
      </c>
      <c r="AM13">
        <v>91</v>
      </c>
      <c r="AN13" t="s">
        <v>70</v>
      </c>
      <c r="AO13">
        <v>3</v>
      </c>
      <c r="AP13">
        <v>3</v>
      </c>
      <c r="AQ13" t="s">
        <v>174</v>
      </c>
      <c r="AR13" t="s">
        <v>440</v>
      </c>
      <c r="AS13" t="s">
        <v>98</v>
      </c>
      <c r="AT13" t="s">
        <v>101</v>
      </c>
      <c r="AU13" t="s">
        <v>77</v>
      </c>
      <c r="AV13" t="s">
        <v>78</v>
      </c>
      <c r="AW13" t="s">
        <v>276</v>
      </c>
    </row>
    <row r="14" spans="1:49" x14ac:dyDescent="0.25">
      <c r="A14" t="s">
        <v>561</v>
      </c>
      <c r="B14" t="s">
        <v>1359</v>
      </c>
      <c r="C14" t="s">
        <v>562</v>
      </c>
      <c r="D14" t="s">
        <v>130</v>
      </c>
      <c r="E14" t="s">
        <v>563</v>
      </c>
      <c r="F14" t="s">
        <v>564</v>
      </c>
      <c r="G14" t="s">
        <v>184</v>
      </c>
      <c r="H14" t="s">
        <v>1390</v>
      </c>
      <c r="I14">
        <v>93</v>
      </c>
      <c r="J14" t="s">
        <v>565</v>
      </c>
      <c r="K14" t="s">
        <v>59</v>
      </c>
      <c r="L14">
        <v>3</v>
      </c>
      <c r="M14" t="s">
        <v>89</v>
      </c>
      <c r="N14" t="s">
        <v>382</v>
      </c>
      <c r="O14" t="s">
        <v>407</v>
      </c>
      <c r="P14" t="s">
        <v>550</v>
      </c>
      <c r="Q14" t="s">
        <v>64</v>
      </c>
      <c r="R14" t="s">
        <v>140</v>
      </c>
      <c r="S14" t="s">
        <v>141</v>
      </c>
      <c r="T14" t="s">
        <v>205</v>
      </c>
      <c r="U14" t="s">
        <v>467</v>
      </c>
      <c r="V14" t="s">
        <v>467</v>
      </c>
      <c r="W14">
        <v>33476</v>
      </c>
      <c r="X14">
        <v>32565</v>
      </c>
      <c r="Y14">
        <v>911</v>
      </c>
      <c r="Z14">
        <v>922</v>
      </c>
      <c r="AA14" t="s">
        <v>98</v>
      </c>
      <c r="AB14" s="4">
        <f t="shared" ca="1" si="0"/>
        <v>45883</v>
      </c>
      <c r="AC14" t="s">
        <v>71</v>
      </c>
      <c r="AD14" t="s">
        <v>95</v>
      </c>
      <c r="AE14">
        <v>8</v>
      </c>
      <c r="AF14">
        <v>50</v>
      </c>
      <c r="AG14">
        <v>75</v>
      </c>
      <c r="AH14" t="s">
        <v>96</v>
      </c>
      <c r="AI14">
        <v>94</v>
      </c>
      <c r="AJ14">
        <v>37</v>
      </c>
      <c r="AK14">
        <v>34</v>
      </c>
      <c r="AL14" t="s">
        <v>122</v>
      </c>
      <c r="AM14">
        <v>100</v>
      </c>
      <c r="AN14" t="s">
        <v>98</v>
      </c>
      <c r="AO14">
        <v>1</v>
      </c>
      <c r="AP14">
        <v>4</v>
      </c>
      <c r="AQ14" t="s">
        <v>566</v>
      </c>
      <c r="AR14" t="s">
        <v>567</v>
      </c>
      <c r="AS14" t="s">
        <v>98</v>
      </c>
      <c r="AT14" t="s">
        <v>125</v>
      </c>
      <c r="AU14" t="s">
        <v>160</v>
      </c>
      <c r="AV14" t="s">
        <v>78</v>
      </c>
      <c r="AW14" t="s">
        <v>79</v>
      </c>
    </row>
    <row r="15" spans="1:49" x14ac:dyDescent="0.25">
      <c r="A15" t="s">
        <v>458</v>
      </c>
      <c r="B15" t="s">
        <v>278</v>
      </c>
      <c r="C15" t="s">
        <v>459</v>
      </c>
      <c r="D15" t="s">
        <v>130</v>
      </c>
      <c r="E15" t="s">
        <v>461</v>
      </c>
      <c r="F15" t="s">
        <v>462</v>
      </c>
      <c r="G15" t="s">
        <v>463</v>
      </c>
      <c r="H15" t="s">
        <v>1389</v>
      </c>
      <c r="I15">
        <v>75</v>
      </c>
      <c r="J15" t="s">
        <v>464</v>
      </c>
      <c r="K15" t="s">
        <v>59</v>
      </c>
      <c r="L15">
        <v>12</v>
      </c>
      <c r="M15" t="s">
        <v>60</v>
      </c>
      <c r="N15" t="s">
        <v>246</v>
      </c>
      <c r="O15" t="s">
        <v>465</v>
      </c>
      <c r="P15" t="s">
        <v>396</v>
      </c>
      <c r="Q15" t="s">
        <v>64</v>
      </c>
      <c r="R15" t="s">
        <v>65</v>
      </c>
      <c r="S15" t="s">
        <v>219</v>
      </c>
      <c r="T15" t="s">
        <v>67</v>
      </c>
      <c r="U15" t="s">
        <v>449</v>
      </c>
      <c r="V15" t="s">
        <v>466</v>
      </c>
      <c r="W15">
        <v>42334</v>
      </c>
      <c r="X15">
        <v>40547</v>
      </c>
      <c r="Y15">
        <v>1787</v>
      </c>
      <c r="Z15">
        <v>4132</v>
      </c>
      <c r="AA15" t="s">
        <v>98</v>
      </c>
      <c r="AB15" s="4">
        <f t="shared" ca="1" si="0"/>
        <v>45917</v>
      </c>
      <c r="AC15" t="s">
        <v>71</v>
      </c>
      <c r="AD15" t="s">
        <v>95</v>
      </c>
      <c r="AE15">
        <v>7</v>
      </c>
      <c r="AF15">
        <v>53</v>
      </c>
      <c r="AG15">
        <v>85</v>
      </c>
      <c r="AH15" t="s">
        <v>73</v>
      </c>
      <c r="AI15">
        <v>98</v>
      </c>
      <c r="AJ15">
        <v>20</v>
      </c>
      <c r="AK15">
        <v>18</v>
      </c>
      <c r="AM15">
        <v>90</v>
      </c>
      <c r="AN15" t="s">
        <v>70</v>
      </c>
      <c r="AO15">
        <v>3</v>
      </c>
      <c r="AP15">
        <v>5</v>
      </c>
      <c r="AQ15" t="s">
        <v>468</v>
      </c>
      <c r="AR15" t="s">
        <v>341</v>
      </c>
      <c r="AS15" t="s">
        <v>98</v>
      </c>
      <c r="AT15" t="s">
        <v>287</v>
      </c>
      <c r="AU15" t="s">
        <v>126</v>
      </c>
      <c r="AV15" t="s">
        <v>78</v>
      </c>
      <c r="AW15" t="s">
        <v>79</v>
      </c>
    </row>
    <row r="16" spans="1:49" x14ac:dyDescent="0.25">
      <c r="A16" t="s">
        <v>161</v>
      </c>
      <c r="B16" t="s">
        <v>162</v>
      </c>
      <c r="C16" t="s">
        <v>163</v>
      </c>
      <c r="D16" t="s">
        <v>130</v>
      </c>
      <c r="E16" t="s">
        <v>165</v>
      </c>
      <c r="F16" t="s">
        <v>166</v>
      </c>
      <c r="G16" t="s">
        <v>167</v>
      </c>
      <c r="H16" t="s">
        <v>1390</v>
      </c>
      <c r="I16">
        <v>89</v>
      </c>
      <c r="J16" t="s">
        <v>168</v>
      </c>
      <c r="K16" t="s">
        <v>169</v>
      </c>
      <c r="L16">
        <v>3</v>
      </c>
      <c r="M16" t="s">
        <v>89</v>
      </c>
      <c r="N16" t="s">
        <v>170</v>
      </c>
      <c r="O16" t="s">
        <v>171</v>
      </c>
      <c r="P16" t="s">
        <v>172</v>
      </c>
      <c r="Q16" t="s">
        <v>116</v>
      </c>
      <c r="R16" t="s">
        <v>140</v>
      </c>
      <c r="S16" t="s">
        <v>117</v>
      </c>
      <c r="T16" t="s">
        <v>67</v>
      </c>
      <c r="U16" t="s">
        <v>157</v>
      </c>
      <c r="V16" t="s">
        <v>173</v>
      </c>
      <c r="W16">
        <v>40557</v>
      </c>
      <c r="X16">
        <v>40142</v>
      </c>
      <c r="Y16">
        <v>415</v>
      </c>
      <c r="Z16">
        <v>1522</v>
      </c>
      <c r="AA16" t="s">
        <v>98</v>
      </c>
      <c r="AB16" s="4">
        <f t="shared" ca="1" si="0"/>
        <v>46009</v>
      </c>
      <c r="AC16" t="s">
        <v>71</v>
      </c>
      <c r="AD16" t="s">
        <v>121</v>
      </c>
      <c r="AE16">
        <v>4</v>
      </c>
      <c r="AF16">
        <v>69</v>
      </c>
      <c r="AG16">
        <v>93</v>
      </c>
      <c r="AH16" t="s">
        <v>96</v>
      </c>
      <c r="AI16">
        <v>61</v>
      </c>
      <c r="AJ16">
        <v>52</v>
      </c>
      <c r="AK16">
        <v>46</v>
      </c>
      <c r="AL16" t="s">
        <v>97</v>
      </c>
      <c r="AM16">
        <v>88</v>
      </c>
      <c r="AN16" t="s">
        <v>70</v>
      </c>
      <c r="AO16">
        <v>2</v>
      </c>
      <c r="AP16">
        <v>2</v>
      </c>
      <c r="AQ16" t="s">
        <v>175</v>
      </c>
      <c r="AR16" t="s">
        <v>176</v>
      </c>
      <c r="AS16" t="s">
        <v>98</v>
      </c>
      <c r="AT16" t="s">
        <v>177</v>
      </c>
      <c r="AU16" t="s">
        <v>160</v>
      </c>
      <c r="AV16" t="s">
        <v>147</v>
      </c>
    </row>
    <row r="17" spans="1:49" x14ac:dyDescent="0.25">
      <c r="A17" t="s">
        <v>478</v>
      </c>
      <c r="B17" t="s">
        <v>131</v>
      </c>
      <c r="C17" t="s">
        <v>479</v>
      </c>
      <c r="D17" t="s">
        <v>130</v>
      </c>
      <c r="E17" t="s">
        <v>480</v>
      </c>
      <c r="F17" t="s">
        <v>481</v>
      </c>
      <c r="G17" t="s">
        <v>482</v>
      </c>
      <c r="H17" t="s">
        <v>135</v>
      </c>
      <c r="I17">
        <v>93</v>
      </c>
      <c r="J17" t="s">
        <v>483</v>
      </c>
      <c r="K17" t="s">
        <v>169</v>
      </c>
      <c r="L17">
        <v>3</v>
      </c>
      <c r="M17" t="s">
        <v>89</v>
      </c>
      <c r="N17" t="s">
        <v>484</v>
      </c>
      <c r="O17" t="s">
        <v>440</v>
      </c>
      <c r="P17" t="s">
        <v>259</v>
      </c>
      <c r="Q17" t="s">
        <v>204</v>
      </c>
      <c r="R17" t="s">
        <v>140</v>
      </c>
      <c r="S17" t="s">
        <v>117</v>
      </c>
      <c r="T17" t="s">
        <v>118</v>
      </c>
      <c r="U17" t="s">
        <v>360</v>
      </c>
      <c r="V17" t="s">
        <v>438</v>
      </c>
      <c r="W17">
        <v>21123</v>
      </c>
      <c r="X17">
        <v>20086</v>
      </c>
      <c r="Y17">
        <v>1037</v>
      </c>
      <c r="Z17">
        <v>2663</v>
      </c>
      <c r="AA17" t="s">
        <v>70</v>
      </c>
      <c r="AB17" s="4">
        <f t="shared" ca="1" si="0"/>
        <v>45952</v>
      </c>
      <c r="AC17" t="s">
        <v>71</v>
      </c>
      <c r="AD17" t="s">
        <v>191</v>
      </c>
      <c r="AE17">
        <v>2</v>
      </c>
      <c r="AF17">
        <v>40</v>
      </c>
      <c r="AG17">
        <v>68</v>
      </c>
      <c r="AH17" t="s">
        <v>96</v>
      </c>
      <c r="AI17">
        <v>97</v>
      </c>
      <c r="AJ17">
        <v>48</v>
      </c>
      <c r="AK17">
        <v>42</v>
      </c>
      <c r="AL17" t="s">
        <v>122</v>
      </c>
      <c r="AM17">
        <v>87</v>
      </c>
      <c r="AN17" t="s">
        <v>70</v>
      </c>
      <c r="AO17">
        <v>5</v>
      </c>
      <c r="AP17">
        <v>1</v>
      </c>
      <c r="AQ17" t="s">
        <v>174</v>
      </c>
      <c r="AR17" t="s">
        <v>340</v>
      </c>
      <c r="AS17" t="s">
        <v>70</v>
      </c>
      <c r="AT17" t="s">
        <v>101</v>
      </c>
      <c r="AU17" t="s">
        <v>126</v>
      </c>
      <c r="AV17" t="s">
        <v>78</v>
      </c>
      <c r="AW17" t="s">
        <v>102</v>
      </c>
    </row>
    <row r="18" spans="1:49" x14ac:dyDescent="0.25">
      <c r="A18" t="s">
        <v>388</v>
      </c>
      <c r="B18" t="s">
        <v>389</v>
      </c>
      <c r="C18" t="s">
        <v>390</v>
      </c>
      <c r="D18" t="s">
        <v>130</v>
      </c>
      <c r="E18" t="s">
        <v>391</v>
      </c>
      <c r="F18" t="s">
        <v>392</v>
      </c>
      <c r="G18" t="s">
        <v>393</v>
      </c>
      <c r="H18" t="s">
        <v>135</v>
      </c>
      <c r="I18">
        <v>67</v>
      </c>
      <c r="J18" t="s">
        <v>394</v>
      </c>
      <c r="K18" t="s">
        <v>169</v>
      </c>
      <c r="L18">
        <v>3</v>
      </c>
      <c r="M18" t="s">
        <v>89</v>
      </c>
      <c r="N18" t="s">
        <v>395</v>
      </c>
      <c r="O18" t="s">
        <v>120</v>
      </c>
      <c r="P18" t="s">
        <v>396</v>
      </c>
      <c r="Q18" t="s">
        <v>64</v>
      </c>
      <c r="R18" t="s">
        <v>65</v>
      </c>
      <c r="S18" t="s">
        <v>66</v>
      </c>
      <c r="T18" t="s">
        <v>67</v>
      </c>
      <c r="U18" t="s">
        <v>373</v>
      </c>
      <c r="V18" t="s">
        <v>397</v>
      </c>
      <c r="W18">
        <v>36359</v>
      </c>
      <c r="X18">
        <v>34507</v>
      </c>
      <c r="Y18">
        <v>1852</v>
      </c>
      <c r="Z18">
        <v>2266</v>
      </c>
      <c r="AA18" t="s">
        <v>98</v>
      </c>
      <c r="AB18" s="4">
        <f t="shared" ca="1" si="0"/>
        <v>45892</v>
      </c>
      <c r="AC18" t="s">
        <v>71</v>
      </c>
      <c r="AD18" t="s">
        <v>95</v>
      </c>
      <c r="AE18">
        <v>4</v>
      </c>
      <c r="AF18">
        <v>48</v>
      </c>
      <c r="AG18">
        <v>54</v>
      </c>
      <c r="AH18" t="s">
        <v>73</v>
      </c>
      <c r="AI18">
        <v>72</v>
      </c>
      <c r="AJ18">
        <v>23</v>
      </c>
      <c r="AK18">
        <v>20</v>
      </c>
      <c r="AL18" t="s">
        <v>122</v>
      </c>
      <c r="AM18">
        <v>86</v>
      </c>
      <c r="AN18" t="s">
        <v>70</v>
      </c>
      <c r="AO18">
        <v>1</v>
      </c>
      <c r="AP18">
        <v>4</v>
      </c>
      <c r="AQ18" t="s">
        <v>398</v>
      </c>
      <c r="AR18" t="s">
        <v>399</v>
      </c>
      <c r="AS18" t="s">
        <v>98</v>
      </c>
      <c r="AT18" t="s">
        <v>101</v>
      </c>
      <c r="AU18" t="s">
        <v>126</v>
      </c>
      <c r="AV18" t="s">
        <v>78</v>
      </c>
      <c r="AW18" t="s">
        <v>79</v>
      </c>
    </row>
    <row r="19" spans="1:49" x14ac:dyDescent="0.25">
      <c r="A19" t="s">
        <v>334</v>
      </c>
      <c r="B19" t="s">
        <v>181</v>
      </c>
      <c r="C19" t="s">
        <v>335</v>
      </c>
      <c r="D19" t="s">
        <v>130</v>
      </c>
      <c r="E19" t="s">
        <v>336</v>
      </c>
      <c r="F19" t="s">
        <v>337</v>
      </c>
      <c r="G19" t="s">
        <v>338</v>
      </c>
      <c r="H19" t="s">
        <v>1389</v>
      </c>
      <c r="I19">
        <v>70</v>
      </c>
      <c r="J19" t="s">
        <v>339</v>
      </c>
      <c r="K19" t="s">
        <v>169</v>
      </c>
      <c r="L19">
        <v>12</v>
      </c>
      <c r="M19" t="s">
        <v>60</v>
      </c>
      <c r="N19" t="s">
        <v>137</v>
      </c>
      <c r="O19" t="s">
        <v>138</v>
      </c>
      <c r="P19" t="s">
        <v>297</v>
      </c>
      <c r="Q19" t="s">
        <v>116</v>
      </c>
      <c r="R19" t="s">
        <v>140</v>
      </c>
      <c r="S19" t="s">
        <v>66</v>
      </c>
      <c r="T19" t="s">
        <v>205</v>
      </c>
      <c r="U19" t="s">
        <v>340</v>
      </c>
      <c r="V19" t="s">
        <v>341</v>
      </c>
      <c r="W19">
        <v>17919</v>
      </c>
      <c r="X19">
        <v>17530</v>
      </c>
      <c r="Y19">
        <v>389</v>
      </c>
      <c r="Z19">
        <v>511</v>
      </c>
      <c r="AA19" t="s">
        <v>98</v>
      </c>
      <c r="AB19" s="4">
        <f t="shared" ca="1" si="0"/>
        <v>45981</v>
      </c>
      <c r="AC19" t="s">
        <v>71</v>
      </c>
      <c r="AD19" t="s">
        <v>95</v>
      </c>
      <c r="AE19">
        <v>8</v>
      </c>
      <c r="AF19">
        <v>53</v>
      </c>
      <c r="AG19">
        <v>86</v>
      </c>
      <c r="AH19" t="s">
        <v>96</v>
      </c>
      <c r="AI19">
        <v>82</v>
      </c>
      <c r="AJ19">
        <v>28</v>
      </c>
      <c r="AK19">
        <v>24</v>
      </c>
      <c r="AL19" t="s">
        <v>122</v>
      </c>
      <c r="AM19">
        <v>85</v>
      </c>
      <c r="AN19" t="s">
        <v>98</v>
      </c>
      <c r="AO19">
        <v>2</v>
      </c>
      <c r="AP19">
        <v>3</v>
      </c>
      <c r="AQ19" t="s">
        <v>171</v>
      </c>
      <c r="AR19" t="s">
        <v>342</v>
      </c>
      <c r="AS19" t="s">
        <v>70</v>
      </c>
      <c r="AT19" t="s">
        <v>101</v>
      </c>
      <c r="AU19" t="s">
        <v>126</v>
      </c>
      <c r="AV19" t="s">
        <v>147</v>
      </c>
    </row>
    <row r="20" spans="1:49" x14ac:dyDescent="0.25">
      <c r="A20" t="s">
        <v>221</v>
      </c>
      <c r="B20" t="s">
        <v>222</v>
      </c>
      <c r="C20" t="s">
        <v>223</v>
      </c>
      <c r="D20" t="s">
        <v>130</v>
      </c>
      <c r="E20" t="s">
        <v>225</v>
      </c>
      <c r="F20" t="s">
        <v>226</v>
      </c>
      <c r="G20" t="s">
        <v>227</v>
      </c>
      <c r="H20" t="s">
        <v>1391</v>
      </c>
      <c r="I20">
        <v>64</v>
      </c>
      <c r="J20" t="s">
        <v>228</v>
      </c>
      <c r="K20" t="s">
        <v>59</v>
      </c>
      <c r="L20">
        <v>3</v>
      </c>
      <c r="M20" t="s">
        <v>60</v>
      </c>
      <c r="N20" t="s">
        <v>229</v>
      </c>
      <c r="O20" t="s">
        <v>230</v>
      </c>
      <c r="P20" t="s">
        <v>231</v>
      </c>
      <c r="Q20" t="s">
        <v>204</v>
      </c>
      <c r="R20" t="s">
        <v>140</v>
      </c>
      <c r="S20" t="s">
        <v>232</v>
      </c>
      <c r="T20" t="s">
        <v>118</v>
      </c>
      <c r="U20" t="s">
        <v>99</v>
      </c>
      <c r="V20" t="s">
        <v>99</v>
      </c>
      <c r="W20">
        <v>43563</v>
      </c>
      <c r="X20">
        <v>43281</v>
      </c>
      <c r="Y20">
        <v>282</v>
      </c>
      <c r="Z20">
        <v>3482</v>
      </c>
      <c r="AA20" t="s">
        <v>98</v>
      </c>
      <c r="AB20" s="4">
        <f t="shared" ca="1" si="0"/>
        <v>45989</v>
      </c>
      <c r="AC20" t="s">
        <v>71</v>
      </c>
      <c r="AD20" t="s">
        <v>95</v>
      </c>
      <c r="AE20">
        <v>9</v>
      </c>
      <c r="AF20">
        <v>81</v>
      </c>
      <c r="AG20">
        <v>91</v>
      </c>
      <c r="AH20" t="s">
        <v>234</v>
      </c>
      <c r="AI20">
        <v>97</v>
      </c>
      <c r="AJ20">
        <v>28</v>
      </c>
      <c r="AK20">
        <v>23</v>
      </c>
      <c r="AL20" t="s">
        <v>97</v>
      </c>
      <c r="AM20">
        <v>82</v>
      </c>
      <c r="AN20" t="s">
        <v>70</v>
      </c>
      <c r="AO20">
        <v>4</v>
      </c>
      <c r="AP20">
        <v>4</v>
      </c>
      <c r="AQ20" t="s">
        <v>235</v>
      </c>
      <c r="AR20" t="s">
        <v>230</v>
      </c>
      <c r="AS20" t="s">
        <v>70</v>
      </c>
      <c r="AT20" t="s">
        <v>125</v>
      </c>
      <c r="AU20" t="s">
        <v>126</v>
      </c>
      <c r="AV20" t="s">
        <v>147</v>
      </c>
    </row>
    <row r="21" spans="1:49" x14ac:dyDescent="0.25">
      <c r="A21" t="s">
        <v>80</v>
      </c>
      <c r="B21" t="s">
        <v>1329</v>
      </c>
      <c r="C21" t="s">
        <v>82</v>
      </c>
      <c r="D21" t="s">
        <v>52</v>
      </c>
      <c r="E21" t="s">
        <v>84</v>
      </c>
      <c r="F21" t="s">
        <v>85</v>
      </c>
      <c r="G21" t="s">
        <v>86</v>
      </c>
      <c r="H21" t="s">
        <v>87</v>
      </c>
      <c r="I21">
        <v>73</v>
      </c>
      <c r="J21" t="s">
        <v>88</v>
      </c>
      <c r="K21" t="s">
        <v>59</v>
      </c>
      <c r="L21">
        <v>6</v>
      </c>
      <c r="M21" t="s">
        <v>89</v>
      </c>
      <c r="N21" t="s">
        <v>90</v>
      </c>
      <c r="O21" t="s">
        <v>91</v>
      </c>
      <c r="P21" t="s">
        <v>92</v>
      </c>
      <c r="Q21" t="s">
        <v>64</v>
      </c>
      <c r="R21" t="s">
        <v>65</v>
      </c>
      <c r="S21" t="s">
        <v>66</v>
      </c>
      <c r="T21" t="s">
        <v>67</v>
      </c>
      <c r="U21" t="s">
        <v>93</v>
      </c>
      <c r="V21" t="s">
        <v>94</v>
      </c>
      <c r="W21">
        <v>27267</v>
      </c>
      <c r="X21">
        <v>25250</v>
      </c>
      <c r="Y21">
        <v>2017</v>
      </c>
      <c r="Z21">
        <v>3626</v>
      </c>
      <c r="AA21" t="s">
        <v>70</v>
      </c>
      <c r="AB21" s="4">
        <f t="shared" ca="1" si="0"/>
        <v>45871</v>
      </c>
      <c r="AC21" t="s">
        <v>71</v>
      </c>
      <c r="AD21" t="s">
        <v>95</v>
      </c>
      <c r="AE21">
        <v>6</v>
      </c>
      <c r="AF21">
        <v>75</v>
      </c>
      <c r="AG21">
        <v>77</v>
      </c>
      <c r="AH21" t="s">
        <v>96</v>
      </c>
      <c r="AI21">
        <v>94</v>
      </c>
      <c r="AJ21">
        <v>21</v>
      </c>
      <c r="AK21">
        <v>17</v>
      </c>
      <c r="AL21" t="s">
        <v>97</v>
      </c>
      <c r="AM21">
        <v>80</v>
      </c>
      <c r="AN21" t="s">
        <v>98</v>
      </c>
      <c r="AO21">
        <v>3</v>
      </c>
      <c r="AP21">
        <v>4</v>
      </c>
      <c r="AQ21" t="s">
        <v>99</v>
      </c>
      <c r="AR21" t="s">
        <v>100</v>
      </c>
      <c r="AS21" t="s">
        <v>70</v>
      </c>
      <c r="AT21" t="s">
        <v>101</v>
      </c>
      <c r="AU21" t="s">
        <v>77</v>
      </c>
      <c r="AV21" t="s">
        <v>78</v>
      </c>
      <c r="AW21" t="s">
        <v>102</v>
      </c>
    </row>
    <row r="22" spans="1:49" x14ac:dyDescent="0.25">
      <c r="A22" t="s">
        <v>408</v>
      </c>
      <c r="B22" t="s">
        <v>409</v>
      </c>
      <c r="C22" t="s">
        <v>410</v>
      </c>
      <c r="D22" t="s">
        <v>130</v>
      </c>
      <c r="E22" t="s">
        <v>411</v>
      </c>
      <c r="F22" t="s">
        <v>412</v>
      </c>
      <c r="G22" t="s">
        <v>413</v>
      </c>
      <c r="H22" t="s">
        <v>135</v>
      </c>
      <c r="I22">
        <v>92</v>
      </c>
      <c r="J22" t="s">
        <v>414</v>
      </c>
      <c r="K22" t="s">
        <v>242</v>
      </c>
      <c r="L22">
        <v>3</v>
      </c>
      <c r="M22" t="s">
        <v>60</v>
      </c>
      <c r="N22" t="s">
        <v>321</v>
      </c>
      <c r="O22" t="s">
        <v>415</v>
      </c>
      <c r="P22" t="s">
        <v>245</v>
      </c>
      <c r="Q22" t="s">
        <v>204</v>
      </c>
      <c r="R22" t="s">
        <v>65</v>
      </c>
      <c r="S22" t="s">
        <v>219</v>
      </c>
      <c r="T22" t="s">
        <v>67</v>
      </c>
      <c r="U22" t="s">
        <v>143</v>
      </c>
      <c r="V22" t="s">
        <v>416</v>
      </c>
      <c r="W22">
        <v>38039</v>
      </c>
      <c r="X22">
        <v>34261</v>
      </c>
      <c r="Y22">
        <v>3778</v>
      </c>
      <c r="Z22">
        <v>4859</v>
      </c>
      <c r="AA22" t="s">
        <v>70</v>
      </c>
      <c r="AB22" s="4">
        <f t="shared" ca="1" si="0"/>
        <v>45897</v>
      </c>
      <c r="AC22" t="s">
        <v>71</v>
      </c>
      <c r="AD22" t="s">
        <v>121</v>
      </c>
      <c r="AE22">
        <v>8</v>
      </c>
      <c r="AF22">
        <v>49</v>
      </c>
      <c r="AG22">
        <v>68</v>
      </c>
      <c r="AH22" t="s">
        <v>234</v>
      </c>
      <c r="AI22">
        <v>84</v>
      </c>
      <c r="AJ22">
        <v>51</v>
      </c>
      <c r="AK22">
        <v>41</v>
      </c>
      <c r="AM22">
        <v>80</v>
      </c>
      <c r="AN22" t="s">
        <v>70</v>
      </c>
      <c r="AO22">
        <v>3</v>
      </c>
      <c r="AP22">
        <v>5</v>
      </c>
      <c r="AQ22" t="s">
        <v>296</v>
      </c>
      <c r="AR22" t="s">
        <v>417</v>
      </c>
      <c r="AS22" t="s">
        <v>98</v>
      </c>
      <c r="AT22" t="s">
        <v>287</v>
      </c>
      <c r="AU22" t="s">
        <v>160</v>
      </c>
      <c r="AV22" t="s">
        <v>147</v>
      </c>
    </row>
    <row r="23" spans="1:49" x14ac:dyDescent="0.25">
      <c r="A23" t="s">
        <v>103</v>
      </c>
      <c r="B23" t="s">
        <v>1360</v>
      </c>
      <c r="C23" t="s">
        <v>105</v>
      </c>
      <c r="D23" t="s">
        <v>130</v>
      </c>
      <c r="E23" t="s">
        <v>107</v>
      </c>
      <c r="F23" t="s">
        <v>108</v>
      </c>
      <c r="G23" t="s">
        <v>109</v>
      </c>
      <c r="H23" t="s">
        <v>87</v>
      </c>
      <c r="I23">
        <v>61</v>
      </c>
      <c r="J23" t="s">
        <v>110</v>
      </c>
      <c r="K23" t="s">
        <v>111</v>
      </c>
      <c r="L23">
        <v>6</v>
      </c>
      <c r="M23" t="s">
        <v>112</v>
      </c>
      <c r="N23" t="s">
        <v>113</v>
      </c>
      <c r="O23" t="s">
        <v>114</v>
      </c>
      <c r="P23" t="s">
        <v>115</v>
      </c>
      <c r="Q23" t="s">
        <v>116</v>
      </c>
      <c r="R23" t="s">
        <v>65</v>
      </c>
      <c r="S23" t="s">
        <v>117</v>
      </c>
      <c r="T23" t="s">
        <v>118</v>
      </c>
      <c r="U23" t="s">
        <v>119</v>
      </c>
      <c r="V23" t="s">
        <v>120</v>
      </c>
      <c r="W23">
        <v>29239</v>
      </c>
      <c r="X23">
        <v>28279</v>
      </c>
      <c r="Y23">
        <v>960</v>
      </c>
      <c r="Z23">
        <v>1156</v>
      </c>
      <c r="AA23" t="s">
        <v>70</v>
      </c>
      <c r="AB23" s="4">
        <f t="shared" ca="1" si="0"/>
        <v>45945</v>
      </c>
      <c r="AC23" t="s">
        <v>71</v>
      </c>
      <c r="AD23" t="s">
        <v>121</v>
      </c>
      <c r="AE23">
        <v>5</v>
      </c>
      <c r="AF23">
        <v>63</v>
      </c>
      <c r="AG23">
        <v>64</v>
      </c>
      <c r="AH23" t="s">
        <v>73</v>
      </c>
      <c r="AI23">
        <v>68</v>
      </c>
      <c r="AJ23">
        <v>54</v>
      </c>
      <c r="AK23">
        <v>43</v>
      </c>
      <c r="AL23" t="s">
        <v>122</v>
      </c>
      <c r="AM23">
        <v>79</v>
      </c>
      <c r="AN23" t="s">
        <v>98</v>
      </c>
      <c r="AO23">
        <v>1</v>
      </c>
      <c r="AP23">
        <v>5</v>
      </c>
      <c r="AQ23" t="s">
        <v>123</v>
      </c>
      <c r="AR23" t="s">
        <v>124</v>
      </c>
      <c r="AS23" t="s">
        <v>98</v>
      </c>
      <c r="AT23" t="s">
        <v>125</v>
      </c>
      <c r="AU23" t="s">
        <v>126</v>
      </c>
      <c r="AV23" t="s">
        <v>78</v>
      </c>
      <c r="AW23" t="s">
        <v>102</v>
      </c>
    </row>
    <row r="24" spans="1:49" x14ac:dyDescent="0.25">
      <c r="A24" t="s">
        <v>299</v>
      </c>
      <c r="B24" t="s">
        <v>212</v>
      </c>
      <c r="C24" t="s">
        <v>300</v>
      </c>
      <c r="D24" t="s">
        <v>130</v>
      </c>
      <c r="E24" t="s">
        <v>301</v>
      </c>
      <c r="F24" t="s">
        <v>302</v>
      </c>
      <c r="G24" t="s">
        <v>303</v>
      </c>
      <c r="H24" t="s">
        <v>135</v>
      </c>
      <c r="I24">
        <v>90</v>
      </c>
      <c r="J24" t="s">
        <v>304</v>
      </c>
      <c r="K24" t="s">
        <v>59</v>
      </c>
      <c r="L24">
        <v>3</v>
      </c>
      <c r="M24" t="s">
        <v>112</v>
      </c>
      <c r="N24" t="s">
        <v>305</v>
      </c>
      <c r="O24" t="s">
        <v>243</v>
      </c>
      <c r="P24" t="s">
        <v>245</v>
      </c>
      <c r="Q24" t="s">
        <v>64</v>
      </c>
      <c r="R24" t="s">
        <v>65</v>
      </c>
      <c r="S24" t="s">
        <v>232</v>
      </c>
      <c r="T24" t="s">
        <v>205</v>
      </c>
      <c r="U24" t="s">
        <v>306</v>
      </c>
      <c r="V24" t="s">
        <v>307</v>
      </c>
      <c r="W24">
        <v>30207</v>
      </c>
      <c r="X24">
        <v>28610</v>
      </c>
      <c r="Y24">
        <v>1597</v>
      </c>
      <c r="Z24">
        <v>1889</v>
      </c>
      <c r="AA24" t="s">
        <v>98</v>
      </c>
      <c r="AB24" s="4">
        <f t="shared" ca="1" si="0"/>
        <v>45864</v>
      </c>
      <c r="AC24" t="s">
        <v>71</v>
      </c>
      <c r="AD24" t="s">
        <v>95</v>
      </c>
      <c r="AE24">
        <v>7</v>
      </c>
      <c r="AF24">
        <v>52</v>
      </c>
      <c r="AG24">
        <v>87</v>
      </c>
      <c r="AH24" t="s">
        <v>73</v>
      </c>
      <c r="AI24">
        <v>72</v>
      </c>
      <c r="AJ24">
        <v>50</v>
      </c>
      <c r="AK24">
        <v>39</v>
      </c>
      <c r="AM24">
        <v>78</v>
      </c>
      <c r="AN24" t="s">
        <v>98</v>
      </c>
      <c r="AO24">
        <v>4</v>
      </c>
      <c r="AP24">
        <v>3</v>
      </c>
      <c r="AQ24" t="s">
        <v>309</v>
      </c>
      <c r="AR24" t="s">
        <v>310</v>
      </c>
      <c r="AS24" t="s">
        <v>98</v>
      </c>
      <c r="AT24" t="s">
        <v>125</v>
      </c>
      <c r="AU24" t="s">
        <v>77</v>
      </c>
      <c r="AV24" t="s">
        <v>78</v>
      </c>
      <c r="AW24" t="s">
        <v>79</v>
      </c>
    </row>
    <row r="25" spans="1:49" x14ac:dyDescent="0.25">
      <c r="A25" t="s">
        <v>518</v>
      </c>
      <c r="B25" t="s">
        <v>1361</v>
      </c>
      <c r="C25" t="s">
        <v>519</v>
      </c>
      <c r="D25" t="s">
        <v>130</v>
      </c>
      <c r="E25" t="s">
        <v>520</v>
      </c>
      <c r="F25" t="s">
        <v>521</v>
      </c>
      <c r="G25" t="s">
        <v>522</v>
      </c>
      <c r="H25" t="s">
        <v>135</v>
      </c>
      <c r="I25">
        <v>79</v>
      </c>
      <c r="J25" t="s">
        <v>523</v>
      </c>
      <c r="K25" t="s">
        <v>294</v>
      </c>
      <c r="L25">
        <v>12</v>
      </c>
      <c r="M25" t="s">
        <v>60</v>
      </c>
      <c r="N25" t="s">
        <v>113</v>
      </c>
      <c r="O25" t="s">
        <v>448</v>
      </c>
      <c r="P25" t="s">
        <v>524</v>
      </c>
      <c r="Q25" t="s">
        <v>116</v>
      </c>
      <c r="R25" t="s">
        <v>140</v>
      </c>
      <c r="S25" t="s">
        <v>66</v>
      </c>
      <c r="T25" t="s">
        <v>118</v>
      </c>
      <c r="U25" t="s">
        <v>190</v>
      </c>
      <c r="V25" t="s">
        <v>397</v>
      </c>
      <c r="W25">
        <v>45733</v>
      </c>
      <c r="X25">
        <v>41468</v>
      </c>
      <c r="Y25">
        <v>4265</v>
      </c>
      <c r="Z25">
        <v>4465</v>
      </c>
      <c r="AA25" t="s">
        <v>98</v>
      </c>
      <c r="AB25" s="4">
        <f t="shared" ca="1" si="0"/>
        <v>45896</v>
      </c>
      <c r="AC25" t="s">
        <v>71</v>
      </c>
      <c r="AD25" t="s">
        <v>95</v>
      </c>
      <c r="AE25">
        <v>5</v>
      </c>
      <c r="AF25">
        <v>51</v>
      </c>
      <c r="AG25">
        <v>58</v>
      </c>
      <c r="AH25" t="s">
        <v>73</v>
      </c>
      <c r="AI25">
        <v>65</v>
      </c>
      <c r="AJ25">
        <v>56</v>
      </c>
      <c r="AK25">
        <v>44</v>
      </c>
      <c r="AM25">
        <v>78</v>
      </c>
      <c r="AN25" t="s">
        <v>70</v>
      </c>
      <c r="AO25">
        <v>1</v>
      </c>
      <c r="AP25">
        <v>3</v>
      </c>
      <c r="AQ25" t="s">
        <v>91</v>
      </c>
      <c r="AR25" t="s">
        <v>525</v>
      </c>
      <c r="AS25" t="s">
        <v>70</v>
      </c>
      <c r="AT25" t="s">
        <v>125</v>
      </c>
      <c r="AU25" t="s">
        <v>126</v>
      </c>
      <c r="AV25" t="s">
        <v>147</v>
      </c>
    </row>
    <row r="26" spans="1:49" x14ac:dyDescent="0.25">
      <c r="A26" t="s">
        <v>193</v>
      </c>
      <c r="B26" t="s">
        <v>194</v>
      </c>
      <c r="C26" t="s">
        <v>195</v>
      </c>
      <c r="D26" t="s">
        <v>52</v>
      </c>
      <c r="E26" t="s">
        <v>197</v>
      </c>
      <c r="F26" t="s">
        <v>198</v>
      </c>
      <c r="G26" t="s">
        <v>199</v>
      </c>
      <c r="H26" t="s">
        <v>1391</v>
      </c>
      <c r="I26">
        <v>88</v>
      </c>
      <c r="J26" t="s">
        <v>200</v>
      </c>
      <c r="K26" t="s">
        <v>111</v>
      </c>
      <c r="L26">
        <v>3</v>
      </c>
      <c r="M26" t="s">
        <v>112</v>
      </c>
      <c r="N26" t="s">
        <v>201</v>
      </c>
      <c r="O26" t="s">
        <v>202</v>
      </c>
      <c r="P26" t="s">
        <v>203</v>
      </c>
      <c r="Q26" t="s">
        <v>204</v>
      </c>
      <c r="R26" t="s">
        <v>65</v>
      </c>
      <c r="S26" t="s">
        <v>141</v>
      </c>
      <c r="T26" t="s">
        <v>205</v>
      </c>
      <c r="U26" t="s">
        <v>206</v>
      </c>
      <c r="V26" t="s">
        <v>207</v>
      </c>
      <c r="W26">
        <v>40970</v>
      </c>
      <c r="X26">
        <v>39997</v>
      </c>
      <c r="Y26">
        <v>973</v>
      </c>
      <c r="Z26">
        <v>2197</v>
      </c>
      <c r="AA26" t="s">
        <v>70</v>
      </c>
      <c r="AB26" s="4">
        <f t="shared" ca="1" si="0"/>
        <v>45945</v>
      </c>
      <c r="AC26" t="s">
        <v>71</v>
      </c>
      <c r="AD26" t="s">
        <v>95</v>
      </c>
      <c r="AE26">
        <v>6</v>
      </c>
      <c r="AF26">
        <v>90</v>
      </c>
      <c r="AG26">
        <v>99</v>
      </c>
      <c r="AH26" t="s">
        <v>73</v>
      </c>
      <c r="AI26">
        <v>72</v>
      </c>
      <c r="AJ26">
        <v>33</v>
      </c>
      <c r="AK26">
        <v>25</v>
      </c>
      <c r="AL26" t="s">
        <v>97</v>
      </c>
      <c r="AM26">
        <v>75</v>
      </c>
      <c r="AN26" t="s">
        <v>98</v>
      </c>
      <c r="AO26">
        <v>3</v>
      </c>
      <c r="AP26">
        <v>5</v>
      </c>
      <c r="AQ26" t="s">
        <v>208</v>
      </c>
      <c r="AR26" t="s">
        <v>209</v>
      </c>
      <c r="AS26" t="s">
        <v>70</v>
      </c>
      <c r="AT26" t="s">
        <v>76</v>
      </c>
      <c r="AU26" t="s">
        <v>160</v>
      </c>
      <c r="AV26" t="s">
        <v>147</v>
      </c>
    </row>
    <row r="27" spans="1:49" x14ac:dyDescent="0.25">
      <c r="A27" t="s">
        <v>210</v>
      </c>
      <c r="B27" t="s">
        <v>1362</v>
      </c>
      <c r="C27" t="s">
        <v>211</v>
      </c>
      <c r="D27" t="s">
        <v>130</v>
      </c>
      <c r="E27" t="s">
        <v>213</v>
      </c>
      <c r="F27" t="s">
        <v>214</v>
      </c>
      <c r="G27" t="s">
        <v>215</v>
      </c>
      <c r="H27" t="s">
        <v>1389</v>
      </c>
      <c r="I27">
        <v>73</v>
      </c>
      <c r="J27" t="s">
        <v>216</v>
      </c>
      <c r="K27" t="s">
        <v>59</v>
      </c>
      <c r="L27">
        <v>12</v>
      </c>
      <c r="M27" t="s">
        <v>112</v>
      </c>
      <c r="N27" t="s">
        <v>217</v>
      </c>
      <c r="O27" t="s">
        <v>218</v>
      </c>
      <c r="P27" t="s">
        <v>203</v>
      </c>
      <c r="Q27" t="s">
        <v>204</v>
      </c>
      <c r="R27" t="s">
        <v>140</v>
      </c>
      <c r="S27" t="s">
        <v>219</v>
      </c>
      <c r="T27" t="s">
        <v>118</v>
      </c>
      <c r="U27" t="s">
        <v>157</v>
      </c>
      <c r="V27" t="s">
        <v>220</v>
      </c>
      <c r="W27">
        <v>21161</v>
      </c>
      <c r="X27">
        <v>19825</v>
      </c>
      <c r="Y27">
        <v>1336</v>
      </c>
      <c r="Z27">
        <v>3988</v>
      </c>
      <c r="AA27" t="s">
        <v>70</v>
      </c>
      <c r="AB27" s="4">
        <f t="shared" ca="1" si="0"/>
        <v>45993</v>
      </c>
      <c r="AC27" t="s">
        <v>71</v>
      </c>
      <c r="AD27" t="s">
        <v>191</v>
      </c>
      <c r="AE27">
        <v>8</v>
      </c>
      <c r="AF27">
        <v>68</v>
      </c>
      <c r="AG27">
        <v>83</v>
      </c>
      <c r="AH27" t="s">
        <v>96</v>
      </c>
      <c r="AI27">
        <v>99</v>
      </c>
      <c r="AJ27">
        <v>56</v>
      </c>
      <c r="AK27">
        <v>41</v>
      </c>
      <c r="AM27">
        <v>73</v>
      </c>
      <c r="AN27" t="s">
        <v>70</v>
      </c>
      <c r="AO27">
        <v>2</v>
      </c>
      <c r="AP27">
        <v>5</v>
      </c>
      <c r="AQ27" t="s">
        <v>176</v>
      </c>
      <c r="AR27" t="s">
        <v>144</v>
      </c>
      <c r="AS27" t="s">
        <v>98</v>
      </c>
      <c r="AT27" t="s">
        <v>125</v>
      </c>
      <c r="AU27" t="s">
        <v>77</v>
      </c>
      <c r="AV27" t="s">
        <v>147</v>
      </c>
    </row>
    <row r="28" spans="1:49" x14ac:dyDescent="0.25">
      <c r="A28" t="s">
        <v>418</v>
      </c>
      <c r="B28" t="s">
        <v>419</v>
      </c>
      <c r="C28" t="s">
        <v>420</v>
      </c>
      <c r="D28" t="s">
        <v>130</v>
      </c>
      <c r="E28" t="s">
        <v>422</v>
      </c>
      <c r="F28" t="s">
        <v>423</v>
      </c>
      <c r="G28" t="s">
        <v>424</v>
      </c>
      <c r="H28" t="s">
        <v>135</v>
      </c>
      <c r="I28">
        <v>78</v>
      </c>
      <c r="J28" t="s">
        <v>425</v>
      </c>
      <c r="K28" t="s">
        <v>111</v>
      </c>
      <c r="L28">
        <v>6</v>
      </c>
      <c r="M28" t="s">
        <v>112</v>
      </c>
      <c r="N28" t="s">
        <v>426</v>
      </c>
      <c r="O28" t="s">
        <v>427</v>
      </c>
      <c r="P28" t="s">
        <v>285</v>
      </c>
      <c r="Q28" t="s">
        <v>204</v>
      </c>
      <c r="R28" t="s">
        <v>65</v>
      </c>
      <c r="S28" t="s">
        <v>219</v>
      </c>
      <c r="T28" t="s">
        <v>205</v>
      </c>
      <c r="U28" t="s">
        <v>229</v>
      </c>
      <c r="V28" t="s">
        <v>207</v>
      </c>
      <c r="W28">
        <v>45981</v>
      </c>
      <c r="X28">
        <v>45836</v>
      </c>
      <c r="Y28">
        <v>145</v>
      </c>
      <c r="Z28">
        <v>3623</v>
      </c>
      <c r="AA28" t="s">
        <v>98</v>
      </c>
      <c r="AB28" s="4">
        <f t="shared" ca="1" si="0"/>
        <v>45912</v>
      </c>
      <c r="AC28" t="s">
        <v>71</v>
      </c>
      <c r="AD28" t="s">
        <v>121</v>
      </c>
      <c r="AE28">
        <v>8</v>
      </c>
      <c r="AF28">
        <v>74</v>
      </c>
      <c r="AG28">
        <v>94</v>
      </c>
      <c r="AH28" t="s">
        <v>234</v>
      </c>
      <c r="AI28">
        <v>63</v>
      </c>
      <c r="AJ28">
        <v>34</v>
      </c>
      <c r="AK28">
        <v>25</v>
      </c>
      <c r="AM28">
        <v>73</v>
      </c>
      <c r="AN28" t="s">
        <v>70</v>
      </c>
      <c r="AO28">
        <v>4</v>
      </c>
      <c r="AP28">
        <v>5</v>
      </c>
      <c r="AQ28" t="s">
        <v>352</v>
      </c>
      <c r="AR28" t="s">
        <v>429</v>
      </c>
      <c r="AS28" t="s">
        <v>98</v>
      </c>
      <c r="AT28" t="s">
        <v>177</v>
      </c>
      <c r="AU28" t="s">
        <v>126</v>
      </c>
      <c r="AV28" t="s">
        <v>78</v>
      </c>
      <c r="AW28" t="s">
        <v>102</v>
      </c>
    </row>
    <row r="29" spans="1:49" x14ac:dyDescent="0.25">
      <c r="A29" t="s">
        <v>495</v>
      </c>
      <c r="B29" t="s">
        <v>179</v>
      </c>
      <c r="C29" t="s">
        <v>496</v>
      </c>
      <c r="D29" t="s">
        <v>130</v>
      </c>
      <c r="E29" t="s">
        <v>497</v>
      </c>
      <c r="F29" t="s">
        <v>498</v>
      </c>
      <c r="G29" t="s">
        <v>499</v>
      </c>
      <c r="H29" t="s">
        <v>1388</v>
      </c>
      <c r="I29">
        <v>94</v>
      </c>
      <c r="J29" t="s">
        <v>500</v>
      </c>
      <c r="K29" t="s">
        <v>169</v>
      </c>
      <c r="L29">
        <v>3</v>
      </c>
      <c r="M29" t="s">
        <v>112</v>
      </c>
      <c r="N29" t="s">
        <v>501</v>
      </c>
      <c r="O29" t="s">
        <v>159</v>
      </c>
      <c r="P29" t="s">
        <v>92</v>
      </c>
      <c r="Q29" t="s">
        <v>64</v>
      </c>
      <c r="R29" t="s">
        <v>140</v>
      </c>
      <c r="S29" t="s">
        <v>141</v>
      </c>
      <c r="T29" t="s">
        <v>142</v>
      </c>
      <c r="U29" t="s">
        <v>307</v>
      </c>
      <c r="V29" t="s">
        <v>502</v>
      </c>
      <c r="W29">
        <v>29344</v>
      </c>
      <c r="X29">
        <v>27076</v>
      </c>
      <c r="Y29">
        <v>2268</v>
      </c>
      <c r="Z29">
        <v>4754</v>
      </c>
      <c r="AA29" t="s">
        <v>70</v>
      </c>
      <c r="AB29" s="4">
        <f t="shared" ca="1" si="0"/>
        <v>45947</v>
      </c>
      <c r="AC29" t="s">
        <v>71</v>
      </c>
      <c r="AD29" t="s">
        <v>121</v>
      </c>
      <c r="AE29">
        <v>8</v>
      </c>
      <c r="AF29">
        <v>48</v>
      </c>
      <c r="AG29">
        <v>96</v>
      </c>
      <c r="AH29" t="s">
        <v>234</v>
      </c>
      <c r="AI29">
        <v>100</v>
      </c>
      <c r="AJ29">
        <v>60</v>
      </c>
      <c r="AK29">
        <v>44</v>
      </c>
      <c r="AL29" t="s">
        <v>122</v>
      </c>
      <c r="AM29">
        <v>73</v>
      </c>
      <c r="AN29" t="s">
        <v>98</v>
      </c>
      <c r="AO29">
        <v>4</v>
      </c>
      <c r="AP29">
        <v>2</v>
      </c>
      <c r="AQ29" t="s">
        <v>189</v>
      </c>
      <c r="AR29" t="s">
        <v>233</v>
      </c>
      <c r="AS29" t="s">
        <v>98</v>
      </c>
      <c r="AT29" t="s">
        <v>125</v>
      </c>
      <c r="AU29" t="s">
        <v>160</v>
      </c>
      <c r="AV29" t="s">
        <v>147</v>
      </c>
    </row>
    <row r="30" spans="1:49" x14ac:dyDescent="0.25">
      <c r="A30" t="s">
        <v>250</v>
      </c>
      <c r="B30" t="s">
        <v>1363</v>
      </c>
      <c r="C30" t="s">
        <v>252</v>
      </c>
      <c r="D30" t="s">
        <v>52</v>
      </c>
      <c r="E30" t="s">
        <v>254</v>
      </c>
      <c r="F30" t="s">
        <v>255</v>
      </c>
      <c r="G30" t="s">
        <v>256</v>
      </c>
      <c r="H30" t="s">
        <v>87</v>
      </c>
      <c r="I30">
        <v>63</v>
      </c>
      <c r="J30" t="s">
        <v>257</v>
      </c>
      <c r="K30" t="s">
        <v>242</v>
      </c>
      <c r="L30">
        <v>12</v>
      </c>
      <c r="M30" t="s">
        <v>60</v>
      </c>
      <c r="N30" t="s">
        <v>156</v>
      </c>
      <c r="O30" t="s">
        <v>258</v>
      </c>
      <c r="P30" t="s">
        <v>259</v>
      </c>
      <c r="Q30" t="s">
        <v>204</v>
      </c>
      <c r="R30" t="s">
        <v>140</v>
      </c>
      <c r="S30" t="s">
        <v>117</v>
      </c>
      <c r="T30" t="s">
        <v>118</v>
      </c>
      <c r="U30" t="s">
        <v>260</v>
      </c>
      <c r="V30" t="s">
        <v>261</v>
      </c>
      <c r="W30">
        <v>47685</v>
      </c>
      <c r="X30">
        <v>47563</v>
      </c>
      <c r="Y30">
        <v>122</v>
      </c>
      <c r="Z30">
        <v>663</v>
      </c>
      <c r="AA30" t="s">
        <v>70</v>
      </c>
      <c r="AB30" s="4">
        <f t="shared" ca="1" si="0"/>
        <v>45844</v>
      </c>
      <c r="AC30" t="s">
        <v>71</v>
      </c>
      <c r="AD30" t="s">
        <v>191</v>
      </c>
      <c r="AE30">
        <v>9</v>
      </c>
      <c r="AF30">
        <v>76</v>
      </c>
      <c r="AG30">
        <v>78</v>
      </c>
      <c r="AH30" t="s">
        <v>234</v>
      </c>
      <c r="AI30">
        <v>98</v>
      </c>
      <c r="AJ30">
        <v>59</v>
      </c>
      <c r="AK30">
        <v>43</v>
      </c>
      <c r="AL30" t="s">
        <v>97</v>
      </c>
      <c r="AM30">
        <v>72</v>
      </c>
      <c r="AN30" t="s">
        <v>70</v>
      </c>
      <c r="AO30">
        <v>4</v>
      </c>
      <c r="AP30">
        <v>2</v>
      </c>
      <c r="AQ30" t="s">
        <v>262</v>
      </c>
      <c r="AR30" t="s">
        <v>263</v>
      </c>
      <c r="AS30" t="s">
        <v>98</v>
      </c>
      <c r="AT30" t="s">
        <v>125</v>
      </c>
      <c r="AU30" t="s">
        <v>126</v>
      </c>
      <c r="AV30" t="s">
        <v>78</v>
      </c>
      <c r="AW30" t="s">
        <v>102</v>
      </c>
    </row>
    <row r="31" spans="1:49" x14ac:dyDescent="0.25">
      <c r="A31" t="s">
        <v>264</v>
      </c>
      <c r="B31" t="s">
        <v>265</v>
      </c>
      <c r="C31" t="s">
        <v>266</v>
      </c>
      <c r="D31" t="s">
        <v>130</v>
      </c>
      <c r="E31" t="s">
        <v>268</v>
      </c>
      <c r="F31" t="s">
        <v>269</v>
      </c>
      <c r="G31" t="s">
        <v>199</v>
      </c>
      <c r="H31" t="s">
        <v>1388</v>
      </c>
      <c r="I31">
        <v>71</v>
      </c>
      <c r="J31" t="s">
        <v>270</v>
      </c>
      <c r="K31" t="s">
        <v>169</v>
      </c>
      <c r="L31">
        <v>12</v>
      </c>
      <c r="M31" t="s">
        <v>89</v>
      </c>
      <c r="N31" t="s">
        <v>271</v>
      </c>
      <c r="O31" t="s">
        <v>272</v>
      </c>
      <c r="P31" t="s">
        <v>259</v>
      </c>
      <c r="Q31" t="s">
        <v>204</v>
      </c>
      <c r="R31" t="s">
        <v>140</v>
      </c>
      <c r="S31" t="s">
        <v>66</v>
      </c>
      <c r="T31" t="s">
        <v>273</v>
      </c>
      <c r="U31" t="s">
        <v>217</v>
      </c>
      <c r="V31" t="s">
        <v>274</v>
      </c>
      <c r="W31">
        <v>19992</v>
      </c>
      <c r="X31">
        <v>16844</v>
      </c>
      <c r="Y31">
        <v>3148</v>
      </c>
      <c r="Z31">
        <v>3877</v>
      </c>
      <c r="AA31" t="s">
        <v>98</v>
      </c>
      <c r="AB31" s="4">
        <f t="shared" ca="1" si="0"/>
        <v>45885</v>
      </c>
      <c r="AC31" t="s">
        <v>71</v>
      </c>
      <c r="AD31" t="s">
        <v>95</v>
      </c>
      <c r="AE31">
        <v>6</v>
      </c>
      <c r="AF31">
        <v>82</v>
      </c>
      <c r="AG31">
        <v>99</v>
      </c>
      <c r="AH31" t="s">
        <v>234</v>
      </c>
      <c r="AI31">
        <v>73</v>
      </c>
      <c r="AJ31">
        <v>37</v>
      </c>
      <c r="AK31">
        <v>27</v>
      </c>
      <c r="AL31" t="s">
        <v>122</v>
      </c>
      <c r="AM31">
        <v>72</v>
      </c>
      <c r="AN31" t="s">
        <v>98</v>
      </c>
      <c r="AO31">
        <v>4</v>
      </c>
      <c r="AP31">
        <v>3</v>
      </c>
      <c r="AQ31" t="s">
        <v>158</v>
      </c>
      <c r="AR31" t="s">
        <v>119</v>
      </c>
      <c r="AS31" t="s">
        <v>70</v>
      </c>
      <c r="AT31" t="s">
        <v>101</v>
      </c>
      <c r="AU31" t="s">
        <v>126</v>
      </c>
      <c r="AV31" t="s">
        <v>78</v>
      </c>
      <c r="AW31" t="s">
        <v>276</v>
      </c>
    </row>
    <row r="32" spans="1:49" x14ac:dyDescent="0.25">
      <c r="A32" t="s">
        <v>552</v>
      </c>
      <c r="B32" t="s">
        <v>460</v>
      </c>
      <c r="C32" t="s">
        <v>553</v>
      </c>
      <c r="D32" t="s">
        <v>130</v>
      </c>
      <c r="E32" t="s">
        <v>555</v>
      </c>
      <c r="F32" t="s">
        <v>556</v>
      </c>
      <c r="G32" t="s">
        <v>557</v>
      </c>
      <c r="H32" t="s">
        <v>1390</v>
      </c>
      <c r="I32">
        <v>76</v>
      </c>
      <c r="J32" t="s">
        <v>558</v>
      </c>
      <c r="K32" t="s">
        <v>111</v>
      </c>
      <c r="L32">
        <v>3</v>
      </c>
      <c r="M32" t="s">
        <v>60</v>
      </c>
      <c r="N32" t="s">
        <v>229</v>
      </c>
      <c r="O32" t="s">
        <v>230</v>
      </c>
      <c r="P32" t="s">
        <v>559</v>
      </c>
      <c r="Q32" t="s">
        <v>116</v>
      </c>
      <c r="R32" t="s">
        <v>140</v>
      </c>
      <c r="S32" t="s">
        <v>141</v>
      </c>
      <c r="T32" t="s">
        <v>118</v>
      </c>
      <c r="U32" t="s">
        <v>100</v>
      </c>
      <c r="V32" t="s">
        <v>144</v>
      </c>
      <c r="W32">
        <v>41685</v>
      </c>
      <c r="X32">
        <v>41195</v>
      </c>
      <c r="Y32">
        <v>490</v>
      </c>
      <c r="Z32">
        <v>4889</v>
      </c>
      <c r="AA32" t="s">
        <v>70</v>
      </c>
      <c r="AB32" s="4">
        <f t="shared" ca="1" si="0"/>
        <v>45872</v>
      </c>
      <c r="AC32" t="s">
        <v>71</v>
      </c>
      <c r="AD32" t="s">
        <v>191</v>
      </c>
      <c r="AE32">
        <v>1</v>
      </c>
      <c r="AF32">
        <v>62</v>
      </c>
      <c r="AG32">
        <v>98</v>
      </c>
      <c r="AH32" t="s">
        <v>73</v>
      </c>
      <c r="AI32">
        <v>67</v>
      </c>
      <c r="AJ32">
        <v>55</v>
      </c>
      <c r="AK32">
        <v>39</v>
      </c>
      <c r="AL32" t="s">
        <v>122</v>
      </c>
      <c r="AM32">
        <v>70</v>
      </c>
      <c r="AN32" t="s">
        <v>70</v>
      </c>
      <c r="AO32">
        <v>2</v>
      </c>
      <c r="AP32">
        <v>2</v>
      </c>
      <c r="AQ32" t="s">
        <v>398</v>
      </c>
      <c r="AR32" t="s">
        <v>560</v>
      </c>
      <c r="AS32" t="s">
        <v>70</v>
      </c>
      <c r="AT32" t="s">
        <v>101</v>
      </c>
      <c r="AU32" t="s">
        <v>126</v>
      </c>
      <c r="AV32" t="s">
        <v>78</v>
      </c>
      <c r="AW32" t="s">
        <v>102</v>
      </c>
    </row>
    <row r="33" spans="1:49" x14ac:dyDescent="0.25">
      <c r="A33" t="s">
        <v>236</v>
      </c>
      <c r="B33" t="s">
        <v>164</v>
      </c>
      <c r="C33" t="s">
        <v>237</v>
      </c>
      <c r="D33" t="s">
        <v>130</v>
      </c>
      <c r="E33" t="s">
        <v>238</v>
      </c>
      <c r="F33" t="s">
        <v>239</v>
      </c>
      <c r="G33" t="s">
        <v>240</v>
      </c>
      <c r="H33" t="s">
        <v>1390</v>
      </c>
      <c r="I33">
        <v>66</v>
      </c>
      <c r="J33" t="s">
        <v>241</v>
      </c>
      <c r="K33" t="s">
        <v>242</v>
      </c>
      <c r="L33">
        <v>6</v>
      </c>
      <c r="M33" t="s">
        <v>89</v>
      </c>
      <c r="N33" t="s">
        <v>243</v>
      </c>
      <c r="O33" t="s">
        <v>244</v>
      </c>
      <c r="P33" t="s">
        <v>245</v>
      </c>
      <c r="Q33" t="s">
        <v>204</v>
      </c>
      <c r="R33" t="s">
        <v>140</v>
      </c>
      <c r="S33" t="s">
        <v>141</v>
      </c>
      <c r="T33" t="s">
        <v>67</v>
      </c>
      <c r="U33" t="s">
        <v>246</v>
      </c>
      <c r="V33" t="s">
        <v>247</v>
      </c>
      <c r="W33">
        <v>20936</v>
      </c>
      <c r="X33">
        <v>18272</v>
      </c>
      <c r="Y33">
        <v>2664</v>
      </c>
      <c r="Z33">
        <v>2870</v>
      </c>
      <c r="AA33" t="s">
        <v>70</v>
      </c>
      <c r="AB33" s="4">
        <f t="shared" ca="1" si="0"/>
        <v>45860</v>
      </c>
      <c r="AC33" t="s">
        <v>71</v>
      </c>
      <c r="AD33" t="s">
        <v>191</v>
      </c>
      <c r="AE33">
        <v>10</v>
      </c>
      <c r="AF33">
        <v>49</v>
      </c>
      <c r="AG33">
        <v>76</v>
      </c>
      <c r="AH33" t="s">
        <v>73</v>
      </c>
      <c r="AI33">
        <v>96</v>
      </c>
      <c r="AJ33">
        <v>38</v>
      </c>
      <c r="AK33">
        <v>25</v>
      </c>
      <c r="AM33">
        <v>65</v>
      </c>
      <c r="AN33" t="s">
        <v>70</v>
      </c>
      <c r="AO33">
        <v>1</v>
      </c>
      <c r="AP33">
        <v>5</v>
      </c>
      <c r="AQ33" t="s">
        <v>248</v>
      </c>
      <c r="AR33" t="s">
        <v>249</v>
      </c>
      <c r="AS33" t="s">
        <v>98</v>
      </c>
      <c r="AT33" t="s">
        <v>125</v>
      </c>
      <c r="AU33" t="s">
        <v>77</v>
      </c>
      <c r="AV33" t="s">
        <v>78</v>
      </c>
      <c r="AW33" t="s">
        <v>79</v>
      </c>
    </row>
    <row r="34" spans="1:49" x14ac:dyDescent="0.25">
      <c r="A34" t="s">
        <v>469</v>
      </c>
      <c r="B34" t="s">
        <v>1364</v>
      </c>
      <c r="C34" t="s">
        <v>470</v>
      </c>
      <c r="D34" t="s">
        <v>130</v>
      </c>
      <c r="E34" t="s">
        <v>471</v>
      </c>
      <c r="F34" t="s">
        <v>472</v>
      </c>
      <c r="G34" t="s">
        <v>473</v>
      </c>
      <c r="H34" t="s">
        <v>135</v>
      </c>
      <c r="I34">
        <v>80</v>
      </c>
      <c r="J34" t="s">
        <v>474</v>
      </c>
      <c r="K34" t="s">
        <v>59</v>
      </c>
      <c r="L34">
        <v>3</v>
      </c>
      <c r="M34" t="s">
        <v>89</v>
      </c>
      <c r="N34" t="s">
        <v>475</v>
      </c>
      <c r="O34" t="s">
        <v>342</v>
      </c>
      <c r="P34" t="s">
        <v>384</v>
      </c>
      <c r="Q34" t="s">
        <v>116</v>
      </c>
      <c r="R34" t="s">
        <v>140</v>
      </c>
      <c r="S34" t="s">
        <v>66</v>
      </c>
      <c r="T34" t="s">
        <v>142</v>
      </c>
      <c r="U34" t="s">
        <v>438</v>
      </c>
      <c r="V34" t="s">
        <v>438</v>
      </c>
      <c r="W34">
        <v>47410</v>
      </c>
      <c r="X34">
        <v>46718</v>
      </c>
      <c r="Y34">
        <v>692</v>
      </c>
      <c r="Z34">
        <v>2379</v>
      </c>
      <c r="AA34" t="s">
        <v>98</v>
      </c>
      <c r="AB34" s="4">
        <f t="shared" ref="AB34:AB51" ca="1" si="1">RANDBETWEEN(DATE(2025,7,1),DATE(2025,12,31))</f>
        <v>45948</v>
      </c>
      <c r="AC34" t="s">
        <v>71</v>
      </c>
      <c r="AD34" t="s">
        <v>121</v>
      </c>
      <c r="AE34">
        <v>10</v>
      </c>
      <c r="AF34">
        <v>76</v>
      </c>
      <c r="AG34">
        <v>77</v>
      </c>
      <c r="AH34" t="s">
        <v>96</v>
      </c>
      <c r="AI34">
        <v>88</v>
      </c>
      <c r="AJ34">
        <v>36</v>
      </c>
      <c r="AK34">
        <v>22</v>
      </c>
      <c r="AM34">
        <v>61</v>
      </c>
      <c r="AN34" t="s">
        <v>98</v>
      </c>
      <c r="AO34">
        <v>3</v>
      </c>
      <c r="AP34">
        <v>2</v>
      </c>
      <c r="AQ34" t="s">
        <v>476</v>
      </c>
      <c r="AR34" t="s">
        <v>477</v>
      </c>
      <c r="AS34" t="s">
        <v>70</v>
      </c>
      <c r="AT34" t="s">
        <v>76</v>
      </c>
      <c r="AU34" t="s">
        <v>77</v>
      </c>
      <c r="AV34" t="s">
        <v>78</v>
      </c>
      <c r="AW34" t="s">
        <v>276</v>
      </c>
    </row>
    <row r="35" spans="1:49" x14ac:dyDescent="0.25">
      <c r="A35" t="s">
        <v>363</v>
      </c>
      <c r="B35" t="s">
        <v>1365</v>
      </c>
      <c r="C35" t="s">
        <v>365</v>
      </c>
      <c r="D35" t="s">
        <v>130</v>
      </c>
      <c r="E35" t="s">
        <v>366</v>
      </c>
      <c r="F35" t="s">
        <v>367</v>
      </c>
      <c r="G35" t="s">
        <v>368</v>
      </c>
      <c r="H35" t="s">
        <v>135</v>
      </c>
      <c r="I35">
        <v>65</v>
      </c>
      <c r="J35" t="s">
        <v>369</v>
      </c>
      <c r="K35" t="s">
        <v>59</v>
      </c>
      <c r="L35">
        <v>12</v>
      </c>
      <c r="M35" t="s">
        <v>89</v>
      </c>
      <c r="N35" t="s">
        <v>274</v>
      </c>
      <c r="O35" t="s">
        <v>370</v>
      </c>
      <c r="P35" t="s">
        <v>371</v>
      </c>
      <c r="Q35" t="s">
        <v>204</v>
      </c>
      <c r="R35" t="s">
        <v>140</v>
      </c>
      <c r="S35" t="s">
        <v>117</v>
      </c>
      <c r="T35" t="s">
        <v>142</v>
      </c>
      <c r="U35" t="s">
        <v>263</v>
      </c>
      <c r="V35" t="s">
        <v>372</v>
      </c>
      <c r="W35">
        <v>29550</v>
      </c>
      <c r="X35">
        <v>28618</v>
      </c>
      <c r="Y35">
        <v>932</v>
      </c>
      <c r="Z35">
        <v>3302</v>
      </c>
      <c r="AA35" t="s">
        <v>98</v>
      </c>
      <c r="AB35" s="4">
        <f t="shared" ca="1" si="1"/>
        <v>45942</v>
      </c>
      <c r="AC35" t="s">
        <v>71</v>
      </c>
      <c r="AD35" t="s">
        <v>95</v>
      </c>
      <c r="AE35">
        <v>8</v>
      </c>
      <c r="AF35">
        <v>45</v>
      </c>
      <c r="AG35">
        <v>54</v>
      </c>
      <c r="AH35" t="s">
        <v>96</v>
      </c>
      <c r="AI35">
        <v>78</v>
      </c>
      <c r="AJ35">
        <v>38</v>
      </c>
      <c r="AK35">
        <v>23</v>
      </c>
      <c r="AL35" t="s">
        <v>97</v>
      </c>
      <c r="AM35">
        <v>60</v>
      </c>
      <c r="AN35" t="s">
        <v>98</v>
      </c>
      <c r="AO35">
        <v>3</v>
      </c>
      <c r="AP35">
        <v>1</v>
      </c>
      <c r="AQ35" t="s">
        <v>373</v>
      </c>
      <c r="AR35" t="s">
        <v>374</v>
      </c>
      <c r="AS35" t="s">
        <v>70</v>
      </c>
      <c r="AT35" t="s">
        <v>76</v>
      </c>
      <c r="AU35" t="s">
        <v>77</v>
      </c>
      <c r="AV35" t="s">
        <v>78</v>
      </c>
      <c r="AW35" t="s">
        <v>102</v>
      </c>
    </row>
    <row r="36" spans="1:49" x14ac:dyDescent="0.25">
      <c r="A36" t="s">
        <v>575</v>
      </c>
      <c r="B36" t="s">
        <v>104</v>
      </c>
      <c r="C36" t="s">
        <v>576</v>
      </c>
      <c r="D36" t="s">
        <v>130</v>
      </c>
      <c r="E36" t="s">
        <v>577</v>
      </c>
      <c r="F36" t="s">
        <v>578</v>
      </c>
      <c r="G36" t="s">
        <v>579</v>
      </c>
      <c r="H36" t="s">
        <v>135</v>
      </c>
      <c r="I36">
        <v>63</v>
      </c>
      <c r="J36" t="s">
        <v>580</v>
      </c>
      <c r="K36" t="s">
        <v>59</v>
      </c>
      <c r="L36">
        <v>6</v>
      </c>
      <c r="M36" t="s">
        <v>112</v>
      </c>
      <c r="N36" t="s">
        <v>581</v>
      </c>
      <c r="O36" t="s">
        <v>582</v>
      </c>
      <c r="P36" t="s">
        <v>396</v>
      </c>
      <c r="Q36" t="s">
        <v>64</v>
      </c>
      <c r="R36" t="s">
        <v>65</v>
      </c>
      <c r="S36" t="s">
        <v>141</v>
      </c>
      <c r="T36" t="s">
        <v>273</v>
      </c>
      <c r="U36" t="s">
        <v>583</v>
      </c>
      <c r="V36" t="s">
        <v>583</v>
      </c>
      <c r="W36">
        <v>19785</v>
      </c>
      <c r="X36">
        <v>18254</v>
      </c>
      <c r="Y36">
        <v>1531</v>
      </c>
      <c r="Z36">
        <v>2562</v>
      </c>
      <c r="AA36" t="s">
        <v>70</v>
      </c>
      <c r="AB36" s="4">
        <f t="shared" ca="1" si="1"/>
        <v>45862</v>
      </c>
      <c r="AC36" t="s">
        <v>71</v>
      </c>
      <c r="AD36" t="s">
        <v>72</v>
      </c>
      <c r="AE36">
        <v>2</v>
      </c>
      <c r="AF36">
        <v>45</v>
      </c>
      <c r="AG36">
        <v>65</v>
      </c>
      <c r="AH36" t="s">
        <v>234</v>
      </c>
      <c r="AI36">
        <v>73</v>
      </c>
      <c r="AJ36">
        <v>37</v>
      </c>
      <c r="AK36">
        <v>22</v>
      </c>
      <c r="AL36" t="s">
        <v>122</v>
      </c>
      <c r="AM36">
        <v>59</v>
      </c>
      <c r="AN36" t="s">
        <v>98</v>
      </c>
      <c r="AO36">
        <v>4</v>
      </c>
      <c r="AP36">
        <v>1</v>
      </c>
      <c r="AQ36" t="s">
        <v>207</v>
      </c>
      <c r="AR36" t="s">
        <v>468</v>
      </c>
      <c r="AS36" t="s">
        <v>98</v>
      </c>
      <c r="AT36" t="s">
        <v>125</v>
      </c>
      <c r="AU36" t="s">
        <v>160</v>
      </c>
      <c r="AV36" t="s">
        <v>147</v>
      </c>
    </row>
    <row r="37" spans="1:49" x14ac:dyDescent="0.25">
      <c r="A37" t="s">
        <v>353</v>
      </c>
      <c r="B37" t="s">
        <v>81</v>
      </c>
      <c r="C37" t="s">
        <v>354</v>
      </c>
      <c r="D37" t="s">
        <v>52</v>
      </c>
      <c r="E37" t="s">
        <v>356</v>
      </c>
      <c r="F37" t="s">
        <v>357</v>
      </c>
      <c r="G37" t="s">
        <v>358</v>
      </c>
      <c r="H37" t="s">
        <v>1390</v>
      </c>
      <c r="I37">
        <v>65</v>
      </c>
      <c r="J37" t="s">
        <v>359</v>
      </c>
      <c r="K37" t="s">
        <v>294</v>
      </c>
      <c r="L37">
        <v>3</v>
      </c>
      <c r="M37" t="s">
        <v>112</v>
      </c>
      <c r="N37" t="s">
        <v>360</v>
      </c>
      <c r="O37" t="s">
        <v>144</v>
      </c>
      <c r="P37" t="s">
        <v>297</v>
      </c>
      <c r="Q37" t="s">
        <v>204</v>
      </c>
      <c r="R37" t="s">
        <v>65</v>
      </c>
      <c r="S37" t="s">
        <v>117</v>
      </c>
      <c r="T37" t="s">
        <v>142</v>
      </c>
      <c r="U37" t="s">
        <v>157</v>
      </c>
      <c r="V37" t="s">
        <v>361</v>
      </c>
      <c r="W37">
        <v>32976</v>
      </c>
      <c r="X37">
        <v>32180</v>
      </c>
      <c r="Y37">
        <v>796</v>
      </c>
      <c r="Z37">
        <v>2727</v>
      </c>
      <c r="AA37" t="s">
        <v>98</v>
      </c>
      <c r="AB37" s="4">
        <f t="shared" ca="1" si="1"/>
        <v>45903</v>
      </c>
      <c r="AC37" t="s">
        <v>71</v>
      </c>
      <c r="AD37" t="s">
        <v>121</v>
      </c>
      <c r="AE37">
        <v>5</v>
      </c>
      <c r="AF37">
        <v>55</v>
      </c>
      <c r="AG37">
        <v>55</v>
      </c>
      <c r="AH37" t="s">
        <v>96</v>
      </c>
      <c r="AI37">
        <v>63</v>
      </c>
      <c r="AJ37">
        <v>54</v>
      </c>
      <c r="AK37">
        <v>31</v>
      </c>
      <c r="AL37" t="s">
        <v>97</v>
      </c>
      <c r="AM37">
        <v>57</v>
      </c>
      <c r="AN37" t="s">
        <v>70</v>
      </c>
      <c r="AO37">
        <v>4</v>
      </c>
      <c r="AP37">
        <v>2</v>
      </c>
      <c r="AQ37" t="s">
        <v>362</v>
      </c>
      <c r="AR37" t="s">
        <v>235</v>
      </c>
      <c r="AS37" t="s">
        <v>98</v>
      </c>
      <c r="AT37" t="s">
        <v>101</v>
      </c>
      <c r="AU37" t="s">
        <v>160</v>
      </c>
      <c r="AV37" t="s">
        <v>147</v>
      </c>
    </row>
    <row r="38" spans="1:49" x14ac:dyDescent="0.25">
      <c r="A38" t="s">
        <v>485</v>
      </c>
      <c r="B38" t="s">
        <v>486</v>
      </c>
      <c r="C38" t="s">
        <v>487</v>
      </c>
      <c r="D38" t="s">
        <v>52</v>
      </c>
      <c r="E38" t="s">
        <v>488</v>
      </c>
      <c r="F38" t="s">
        <v>489</v>
      </c>
      <c r="G38" t="s">
        <v>490</v>
      </c>
      <c r="H38" t="s">
        <v>1391</v>
      </c>
      <c r="I38">
        <v>69</v>
      </c>
      <c r="J38" t="s">
        <v>491</v>
      </c>
      <c r="K38" t="s">
        <v>111</v>
      </c>
      <c r="L38">
        <v>12</v>
      </c>
      <c r="M38" t="s">
        <v>60</v>
      </c>
      <c r="N38" t="s">
        <v>492</v>
      </c>
      <c r="O38" t="s">
        <v>493</v>
      </c>
      <c r="P38" t="s">
        <v>188</v>
      </c>
      <c r="Q38" t="s">
        <v>116</v>
      </c>
      <c r="R38" t="s">
        <v>65</v>
      </c>
      <c r="S38" t="s">
        <v>141</v>
      </c>
      <c r="T38" t="s">
        <v>118</v>
      </c>
      <c r="U38" t="s">
        <v>477</v>
      </c>
      <c r="V38" t="s">
        <v>176</v>
      </c>
      <c r="W38">
        <v>28619</v>
      </c>
      <c r="X38">
        <v>25381</v>
      </c>
      <c r="Y38">
        <v>3238</v>
      </c>
      <c r="Z38">
        <v>3240</v>
      </c>
      <c r="AA38" t="s">
        <v>70</v>
      </c>
      <c r="AB38" s="4">
        <f t="shared" ca="1" si="1"/>
        <v>45963</v>
      </c>
      <c r="AC38" t="s">
        <v>71</v>
      </c>
      <c r="AD38" t="s">
        <v>95</v>
      </c>
      <c r="AE38">
        <v>6</v>
      </c>
      <c r="AF38">
        <v>85</v>
      </c>
      <c r="AG38">
        <v>88</v>
      </c>
      <c r="AH38" t="s">
        <v>234</v>
      </c>
      <c r="AI38">
        <v>83</v>
      </c>
      <c r="AJ38">
        <v>26</v>
      </c>
      <c r="AK38">
        <v>15</v>
      </c>
      <c r="AL38" t="s">
        <v>97</v>
      </c>
      <c r="AM38">
        <v>57</v>
      </c>
      <c r="AN38" t="s">
        <v>70</v>
      </c>
      <c r="AO38">
        <v>5</v>
      </c>
      <c r="AP38">
        <v>4</v>
      </c>
      <c r="AQ38" t="s">
        <v>350</v>
      </c>
      <c r="AR38" t="s">
        <v>494</v>
      </c>
      <c r="AS38" t="s">
        <v>98</v>
      </c>
      <c r="AT38" t="s">
        <v>287</v>
      </c>
      <c r="AU38" t="s">
        <v>160</v>
      </c>
      <c r="AV38" t="s">
        <v>78</v>
      </c>
      <c r="AW38" t="s">
        <v>102</v>
      </c>
    </row>
    <row r="39" spans="1:49" x14ac:dyDescent="0.25">
      <c r="A39" t="s">
        <v>612</v>
      </c>
      <c r="B39" t="s">
        <v>613</v>
      </c>
      <c r="C39" t="s">
        <v>180</v>
      </c>
      <c r="D39" t="s">
        <v>130</v>
      </c>
      <c r="E39" t="s">
        <v>614</v>
      </c>
      <c r="F39" t="s">
        <v>615</v>
      </c>
      <c r="G39" t="s">
        <v>616</v>
      </c>
      <c r="H39" t="s">
        <v>1388</v>
      </c>
      <c r="I39">
        <v>83</v>
      </c>
      <c r="J39" t="s">
        <v>617</v>
      </c>
      <c r="K39" t="s">
        <v>242</v>
      </c>
      <c r="L39">
        <v>3</v>
      </c>
      <c r="M39" t="s">
        <v>60</v>
      </c>
      <c r="N39" t="s">
        <v>260</v>
      </c>
      <c r="O39" t="s">
        <v>605</v>
      </c>
      <c r="P39" t="s">
        <v>231</v>
      </c>
      <c r="Q39" t="s">
        <v>116</v>
      </c>
      <c r="R39" t="s">
        <v>65</v>
      </c>
      <c r="S39" t="s">
        <v>219</v>
      </c>
      <c r="T39" t="s">
        <v>273</v>
      </c>
      <c r="U39" t="s">
        <v>467</v>
      </c>
      <c r="V39" t="s">
        <v>207</v>
      </c>
      <c r="W39">
        <v>38119</v>
      </c>
      <c r="X39">
        <v>38089</v>
      </c>
      <c r="Y39">
        <v>30</v>
      </c>
      <c r="Z39">
        <v>878</v>
      </c>
      <c r="AA39" t="s">
        <v>98</v>
      </c>
      <c r="AB39" s="4">
        <f t="shared" ca="1" si="1"/>
        <v>45959</v>
      </c>
      <c r="AC39" t="s">
        <v>71</v>
      </c>
      <c r="AD39" t="s">
        <v>72</v>
      </c>
      <c r="AE39">
        <v>5</v>
      </c>
      <c r="AF39">
        <v>49</v>
      </c>
      <c r="AG39">
        <v>86</v>
      </c>
      <c r="AH39" t="s">
        <v>96</v>
      </c>
      <c r="AI39">
        <v>62</v>
      </c>
      <c r="AJ39">
        <v>33</v>
      </c>
      <c r="AK39">
        <v>19</v>
      </c>
      <c r="AL39" t="s">
        <v>97</v>
      </c>
      <c r="AM39">
        <v>57</v>
      </c>
      <c r="AN39" t="s">
        <v>70</v>
      </c>
      <c r="AO39">
        <v>4</v>
      </c>
      <c r="AP39">
        <v>1</v>
      </c>
      <c r="AQ39" t="s">
        <v>341</v>
      </c>
      <c r="AR39" t="s">
        <v>415</v>
      </c>
      <c r="AS39" t="s">
        <v>70</v>
      </c>
      <c r="AT39" t="s">
        <v>101</v>
      </c>
      <c r="AU39" t="s">
        <v>77</v>
      </c>
      <c r="AV39" t="s">
        <v>147</v>
      </c>
    </row>
    <row r="40" spans="1:49" x14ac:dyDescent="0.25">
      <c r="A40" t="s">
        <v>526</v>
      </c>
      <c r="B40" t="s">
        <v>527</v>
      </c>
      <c r="C40" t="s">
        <v>528</v>
      </c>
      <c r="D40" t="s">
        <v>52</v>
      </c>
      <c r="E40" t="s">
        <v>529</v>
      </c>
      <c r="F40" t="s">
        <v>530</v>
      </c>
      <c r="G40" t="s">
        <v>531</v>
      </c>
      <c r="H40" t="s">
        <v>1389</v>
      </c>
      <c r="I40">
        <v>82</v>
      </c>
      <c r="J40" t="s">
        <v>532</v>
      </c>
      <c r="K40" t="s">
        <v>59</v>
      </c>
      <c r="L40">
        <v>12</v>
      </c>
      <c r="M40" t="s">
        <v>60</v>
      </c>
      <c r="N40" t="s">
        <v>533</v>
      </c>
      <c r="O40" t="s">
        <v>534</v>
      </c>
      <c r="P40" t="s">
        <v>396</v>
      </c>
      <c r="Q40" t="s">
        <v>204</v>
      </c>
      <c r="R40" t="s">
        <v>65</v>
      </c>
      <c r="S40" t="s">
        <v>141</v>
      </c>
      <c r="T40" t="s">
        <v>205</v>
      </c>
      <c r="U40" t="s">
        <v>220</v>
      </c>
      <c r="V40" t="s">
        <v>535</v>
      </c>
      <c r="W40">
        <v>39856</v>
      </c>
      <c r="X40">
        <v>38099</v>
      </c>
      <c r="Y40">
        <v>1757</v>
      </c>
      <c r="Z40">
        <v>4355</v>
      </c>
      <c r="AA40" t="s">
        <v>98</v>
      </c>
      <c r="AB40" s="4">
        <f t="shared" ca="1" si="1"/>
        <v>45958</v>
      </c>
      <c r="AC40" t="s">
        <v>71</v>
      </c>
      <c r="AD40" t="s">
        <v>95</v>
      </c>
      <c r="AE40">
        <v>3</v>
      </c>
      <c r="AF40">
        <v>54</v>
      </c>
      <c r="AG40">
        <v>62</v>
      </c>
      <c r="AH40" t="s">
        <v>73</v>
      </c>
      <c r="AI40">
        <v>80</v>
      </c>
      <c r="AJ40">
        <v>35</v>
      </c>
      <c r="AK40">
        <v>19</v>
      </c>
      <c r="AL40" t="s">
        <v>122</v>
      </c>
      <c r="AM40">
        <v>54</v>
      </c>
      <c r="AN40" t="s">
        <v>98</v>
      </c>
      <c r="AO40">
        <v>5</v>
      </c>
      <c r="AP40">
        <v>3</v>
      </c>
      <c r="AQ40" t="s">
        <v>176</v>
      </c>
      <c r="AR40" t="s">
        <v>189</v>
      </c>
      <c r="AS40" t="s">
        <v>70</v>
      </c>
      <c r="AT40" t="s">
        <v>76</v>
      </c>
      <c r="AU40" t="s">
        <v>126</v>
      </c>
      <c r="AV40" t="s">
        <v>78</v>
      </c>
      <c r="AW40" t="s">
        <v>79</v>
      </c>
    </row>
    <row r="41" spans="1:49" x14ac:dyDescent="0.25">
      <c r="A41" t="s">
        <v>400</v>
      </c>
      <c r="B41" t="s">
        <v>53</v>
      </c>
      <c r="C41" t="s">
        <v>401</v>
      </c>
      <c r="D41" t="s">
        <v>52</v>
      </c>
      <c r="E41" t="s">
        <v>403</v>
      </c>
      <c r="F41" t="s">
        <v>404</v>
      </c>
      <c r="G41" t="s">
        <v>405</v>
      </c>
      <c r="H41" t="s">
        <v>1391</v>
      </c>
      <c r="I41">
        <v>75</v>
      </c>
      <c r="J41" t="s">
        <v>406</v>
      </c>
      <c r="K41" t="s">
        <v>59</v>
      </c>
      <c r="L41">
        <v>3</v>
      </c>
      <c r="M41" t="s">
        <v>112</v>
      </c>
      <c r="N41" t="s">
        <v>382</v>
      </c>
      <c r="O41" t="s">
        <v>407</v>
      </c>
      <c r="P41" t="s">
        <v>203</v>
      </c>
      <c r="Q41" t="s">
        <v>116</v>
      </c>
      <c r="R41" t="s">
        <v>65</v>
      </c>
      <c r="S41" t="s">
        <v>219</v>
      </c>
      <c r="T41" t="s">
        <v>273</v>
      </c>
      <c r="U41" t="s">
        <v>247</v>
      </c>
      <c r="V41" t="s">
        <v>261</v>
      </c>
      <c r="W41">
        <v>27463</v>
      </c>
      <c r="X41">
        <v>25008</v>
      </c>
      <c r="Y41">
        <v>2455</v>
      </c>
      <c r="Z41">
        <v>2660</v>
      </c>
      <c r="AA41" t="s">
        <v>98</v>
      </c>
      <c r="AB41" s="4">
        <f t="shared" ca="1" si="1"/>
        <v>45921</v>
      </c>
      <c r="AC41" t="s">
        <v>71</v>
      </c>
      <c r="AD41" t="s">
        <v>72</v>
      </c>
      <c r="AE41">
        <v>9</v>
      </c>
      <c r="AF41">
        <v>71</v>
      </c>
      <c r="AG41">
        <v>98</v>
      </c>
      <c r="AH41" t="s">
        <v>96</v>
      </c>
      <c r="AI41">
        <v>97</v>
      </c>
      <c r="AJ41">
        <v>44</v>
      </c>
      <c r="AK41">
        <v>23</v>
      </c>
      <c r="AM41">
        <v>52</v>
      </c>
      <c r="AN41" t="s">
        <v>98</v>
      </c>
      <c r="AO41">
        <v>1</v>
      </c>
      <c r="AP41">
        <v>1</v>
      </c>
      <c r="AQ41" t="s">
        <v>173</v>
      </c>
      <c r="AR41" t="s">
        <v>263</v>
      </c>
      <c r="AS41" t="s">
        <v>98</v>
      </c>
      <c r="AT41" t="s">
        <v>125</v>
      </c>
      <c r="AU41" t="s">
        <v>160</v>
      </c>
      <c r="AV41" t="s">
        <v>147</v>
      </c>
    </row>
    <row r="42" spans="1:49" x14ac:dyDescent="0.25">
      <c r="A42" t="s">
        <v>511</v>
      </c>
      <c r="B42" t="s">
        <v>251</v>
      </c>
      <c r="C42" t="s">
        <v>512</v>
      </c>
      <c r="D42" t="s">
        <v>130</v>
      </c>
      <c r="E42" t="s">
        <v>513</v>
      </c>
      <c r="F42" t="s">
        <v>514</v>
      </c>
      <c r="G42" t="s">
        <v>515</v>
      </c>
      <c r="H42" t="s">
        <v>135</v>
      </c>
      <c r="I42">
        <v>69</v>
      </c>
      <c r="J42" t="s">
        <v>516</v>
      </c>
      <c r="K42" t="s">
        <v>294</v>
      </c>
      <c r="L42">
        <v>3</v>
      </c>
      <c r="M42" t="s">
        <v>89</v>
      </c>
      <c r="N42" t="s">
        <v>274</v>
      </c>
      <c r="O42" t="s">
        <v>517</v>
      </c>
      <c r="P42" t="s">
        <v>371</v>
      </c>
      <c r="Q42" t="s">
        <v>116</v>
      </c>
      <c r="R42" t="s">
        <v>140</v>
      </c>
      <c r="S42" t="s">
        <v>141</v>
      </c>
      <c r="T42" t="s">
        <v>273</v>
      </c>
      <c r="U42" t="s">
        <v>351</v>
      </c>
      <c r="V42" t="s">
        <v>428</v>
      </c>
      <c r="W42">
        <v>16996</v>
      </c>
      <c r="X42">
        <v>16468</v>
      </c>
      <c r="Y42">
        <v>528</v>
      </c>
      <c r="Z42">
        <v>3946</v>
      </c>
      <c r="AA42" t="s">
        <v>70</v>
      </c>
      <c r="AB42" s="4">
        <f t="shared" ca="1" si="1"/>
        <v>45943</v>
      </c>
      <c r="AC42" t="s">
        <v>71</v>
      </c>
      <c r="AD42" t="s">
        <v>121</v>
      </c>
      <c r="AE42">
        <v>8</v>
      </c>
      <c r="AF42">
        <v>73</v>
      </c>
      <c r="AG42">
        <v>91</v>
      </c>
      <c r="AH42" t="s">
        <v>234</v>
      </c>
      <c r="AI42">
        <v>78</v>
      </c>
      <c r="AJ42">
        <v>42</v>
      </c>
      <c r="AK42">
        <v>21</v>
      </c>
      <c r="AL42" t="s">
        <v>122</v>
      </c>
      <c r="AM42">
        <v>50</v>
      </c>
      <c r="AN42" t="s">
        <v>98</v>
      </c>
      <c r="AO42">
        <v>1</v>
      </c>
      <c r="AP42">
        <v>3</v>
      </c>
      <c r="AQ42" t="s">
        <v>143</v>
      </c>
      <c r="AR42" t="s">
        <v>75</v>
      </c>
      <c r="AS42" t="s">
        <v>98</v>
      </c>
      <c r="AT42" t="s">
        <v>125</v>
      </c>
      <c r="AU42" t="s">
        <v>126</v>
      </c>
      <c r="AV42" t="s">
        <v>147</v>
      </c>
    </row>
    <row r="43" spans="1:49" x14ac:dyDescent="0.25">
      <c r="A43" t="s">
        <v>536</v>
      </c>
      <c r="B43" t="s">
        <v>313</v>
      </c>
      <c r="C43" t="s">
        <v>537</v>
      </c>
      <c r="D43" t="s">
        <v>130</v>
      </c>
      <c r="E43" t="s">
        <v>538</v>
      </c>
      <c r="F43" t="s">
        <v>539</v>
      </c>
      <c r="G43" t="s">
        <v>540</v>
      </c>
      <c r="H43" t="s">
        <v>87</v>
      </c>
      <c r="I43">
        <v>60</v>
      </c>
      <c r="J43" t="s">
        <v>541</v>
      </c>
      <c r="K43" t="s">
        <v>294</v>
      </c>
      <c r="L43">
        <v>3</v>
      </c>
      <c r="M43" t="s">
        <v>60</v>
      </c>
      <c r="N43" t="s">
        <v>217</v>
      </c>
      <c r="O43" t="s">
        <v>387</v>
      </c>
      <c r="P43" t="s">
        <v>285</v>
      </c>
      <c r="Q43" t="s">
        <v>64</v>
      </c>
      <c r="R43" t="s">
        <v>140</v>
      </c>
      <c r="S43" t="s">
        <v>117</v>
      </c>
      <c r="T43" t="s">
        <v>118</v>
      </c>
      <c r="U43" t="s">
        <v>428</v>
      </c>
      <c r="V43" t="s">
        <v>286</v>
      </c>
      <c r="W43">
        <v>31109</v>
      </c>
      <c r="X43">
        <v>29623</v>
      </c>
      <c r="Y43">
        <v>1486</v>
      </c>
      <c r="Z43">
        <v>2133</v>
      </c>
      <c r="AA43" t="s">
        <v>70</v>
      </c>
      <c r="AB43" s="4">
        <f t="shared" ca="1" si="1"/>
        <v>45906</v>
      </c>
      <c r="AC43" t="s">
        <v>71</v>
      </c>
      <c r="AD43" t="s">
        <v>95</v>
      </c>
      <c r="AE43">
        <v>8</v>
      </c>
      <c r="AF43">
        <v>64</v>
      </c>
      <c r="AG43">
        <v>84</v>
      </c>
      <c r="AH43" t="s">
        <v>234</v>
      </c>
      <c r="AI43">
        <v>93</v>
      </c>
      <c r="AJ43">
        <v>58</v>
      </c>
      <c r="AK43">
        <v>27</v>
      </c>
      <c r="AL43" t="s">
        <v>97</v>
      </c>
      <c r="AM43">
        <v>46</v>
      </c>
      <c r="AN43" t="s">
        <v>98</v>
      </c>
      <c r="AO43">
        <v>1</v>
      </c>
      <c r="AP43">
        <v>2</v>
      </c>
      <c r="AQ43" t="s">
        <v>233</v>
      </c>
      <c r="AR43" t="s">
        <v>202</v>
      </c>
      <c r="AS43" t="s">
        <v>98</v>
      </c>
      <c r="AT43" t="s">
        <v>101</v>
      </c>
      <c r="AU43" t="s">
        <v>77</v>
      </c>
      <c r="AV43" t="s">
        <v>147</v>
      </c>
    </row>
    <row r="44" spans="1:49" x14ac:dyDescent="0.25">
      <c r="A44" t="s">
        <v>127</v>
      </c>
      <c r="B44" t="s">
        <v>128</v>
      </c>
      <c r="C44" t="s">
        <v>129</v>
      </c>
      <c r="D44" t="s">
        <v>130</v>
      </c>
      <c r="E44" t="s">
        <v>132</v>
      </c>
      <c r="F44" t="s">
        <v>133</v>
      </c>
      <c r="G44" t="s">
        <v>134</v>
      </c>
      <c r="H44" t="s">
        <v>135</v>
      </c>
      <c r="I44">
        <v>95</v>
      </c>
      <c r="J44" t="s">
        <v>136</v>
      </c>
      <c r="K44" t="s">
        <v>111</v>
      </c>
      <c r="L44">
        <v>12</v>
      </c>
      <c r="M44" t="s">
        <v>89</v>
      </c>
      <c r="N44" t="s">
        <v>137</v>
      </c>
      <c r="O44" t="s">
        <v>138</v>
      </c>
      <c r="P44" t="s">
        <v>139</v>
      </c>
      <c r="Q44" t="s">
        <v>116</v>
      </c>
      <c r="R44" t="s">
        <v>140</v>
      </c>
      <c r="S44" t="s">
        <v>141</v>
      </c>
      <c r="T44" t="s">
        <v>142</v>
      </c>
      <c r="U44" t="s">
        <v>143</v>
      </c>
      <c r="V44" t="s">
        <v>144</v>
      </c>
      <c r="W44">
        <v>18800</v>
      </c>
      <c r="X44">
        <v>15778</v>
      </c>
      <c r="Y44">
        <v>3022</v>
      </c>
      <c r="Z44">
        <v>4161</v>
      </c>
      <c r="AA44" t="s">
        <v>70</v>
      </c>
      <c r="AB44" s="4">
        <f t="shared" ca="1" si="1"/>
        <v>46003</v>
      </c>
      <c r="AC44" t="s">
        <v>71</v>
      </c>
      <c r="AD44" t="s">
        <v>72</v>
      </c>
      <c r="AE44">
        <v>5</v>
      </c>
      <c r="AF44">
        <v>73</v>
      </c>
      <c r="AG44">
        <v>88</v>
      </c>
      <c r="AH44" t="s">
        <v>96</v>
      </c>
      <c r="AI44">
        <v>75</v>
      </c>
      <c r="AJ44">
        <v>58</v>
      </c>
      <c r="AK44">
        <v>26</v>
      </c>
      <c r="AL44" t="s">
        <v>97</v>
      </c>
      <c r="AM44">
        <v>44</v>
      </c>
      <c r="AN44" t="s">
        <v>98</v>
      </c>
      <c r="AO44">
        <v>4</v>
      </c>
      <c r="AP44">
        <v>3</v>
      </c>
      <c r="AQ44" t="s">
        <v>145</v>
      </c>
      <c r="AR44" t="s">
        <v>146</v>
      </c>
      <c r="AS44" t="s">
        <v>70</v>
      </c>
      <c r="AT44" t="s">
        <v>76</v>
      </c>
      <c r="AU44" t="s">
        <v>77</v>
      </c>
      <c r="AV44" t="s">
        <v>147</v>
      </c>
    </row>
    <row r="45" spans="1:49" x14ac:dyDescent="0.25">
      <c r="A45" t="s">
        <v>375</v>
      </c>
      <c r="B45" t="s">
        <v>364</v>
      </c>
      <c r="C45" t="s">
        <v>376</v>
      </c>
      <c r="D45" t="s">
        <v>52</v>
      </c>
      <c r="E45" t="s">
        <v>378</v>
      </c>
      <c r="F45" t="s">
        <v>379</v>
      </c>
      <c r="G45" t="s">
        <v>380</v>
      </c>
      <c r="H45" t="s">
        <v>135</v>
      </c>
      <c r="I45">
        <v>68</v>
      </c>
      <c r="J45" t="s">
        <v>381</v>
      </c>
      <c r="K45" t="s">
        <v>294</v>
      </c>
      <c r="L45">
        <v>6</v>
      </c>
      <c r="M45" t="s">
        <v>60</v>
      </c>
      <c r="N45" t="s">
        <v>382</v>
      </c>
      <c r="O45" t="s">
        <v>383</v>
      </c>
      <c r="P45" t="s">
        <v>384</v>
      </c>
      <c r="Q45" t="s">
        <v>116</v>
      </c>
      <c r="R45" t="s">
        <v>65</v>
      </c>
      <c r="S45" t="s">
        <v>219</v>
      </c>
      <c r="T45" t="s">
        <v>67</v>
      </c>
      <c r="U45" t="s">
        <v>385</v>
      </c>
      <c r="V45" t="s">
        <v>386</v>
      </c>
      <c r="W45">
        <v>29689</v>
      </c>
      <c r="X45">
        <v>29635</v>
      </c>
      <c r="Y45">
        <v>54</v>
      </c>
      <c r="Z45">
        <v>3842</v>
      </c>
      <c r="AA45" t="s">
        <v>70</v>
      </c>
      <c r="AB45" s="4">
        <f t="shared" ca="1" si="1"/>
        <v>45914</v>
      </c>
      <c r="AC45" t="s">
        <v>71</v>
      </c>
      <c r="AD45" t="s">
        <v>121</v>
      </c>
      <c r="AE45">
        <v>6</v>
      </c>
      <c r="AF45">
        <v>82</v>
      </c>
      <c r="AG45">
        <v>94</v>
      </c>
      <c r="AH45" t="s">
        <v>234</v>
      </c>
      <c r="AI45">
        <v>67</v>
      </c>
      <c r="AJ45">
        <v>60</v>
      </c>
      <c r="AK45">
        <v>26</v>
      </c>
      <c r="AL45" t="s">
        <v>122</v>
      </c>
      <c r="AM45">
        <v>43</v>
      </c>
      <c r="AN45" t="s">
        <v>70</v>
      </c>
      <c r="AO45">
        <v>3</v>
      </c>
      <c r="AP45">
        <v>2</v>
      </c>
      <c r="AQ45" t="s">
        <v>373</v>
      </c>
      <c r="AR45" t="s">
        <v>387</v>
      </c>
      <c r="AS45" t="s">
        <v>98</v>
      </c>
      <c r="AT45" t="s">
        <v>76</v>
      </c>
      <c r="AU45" t="s">
        <v>160</v>
      </c>
      <c r="AV45" t="s">
        <v>78</v>
      </c>
      <c r="AW45" t="s">
        <v>79</v>
      </c>
    </row>
    <row r="46" spans="1:49" x14ac:dyDescent="0.25">
      <c r="A46" t="s">
        <v>503</v>
      </c>
      <c r="B46" t="s">
        <v>1366</v>
      </c>
      <c r="C46" t="s">
        <v>504</v>
      </c>
      <c r="D46" t="s">
        <v>130</v>
      </c>
      <c r="E46" t="s">
        <v>505</v>
      </c>
      <c r="F46" t="s">
        <v>506</v>
      </c>
      <c r="G46" t="s">
        <v>507</v>
      </c>
      <c r="H46" t="s">
        <v>87</v>
      </c>
      <c r="I46">
        <v>91</v>
      </c>
      <c r="J46" t="s">
        <v>508</v>
      </c>
      <c r="K46" t="s">
        <v>111</v>
      </c>
      <c r="L46">
        <v>3</v>
      </c>
      <c r="M46" t="s">
        <v>112</v>
      </c>
      <c r="N46" t="s">
        <v>262</v>
      </c>
      <c r="O46" t="s">
        <v>350</v>
      </c>
      <c r="P46" t="s">
        <v>115</v>
      </c>
      <c r="Q46" t="s">
        <v>204</v>
      </c>
      <c r="R46" t="s">
        <v>140</v>
      </c>
      <c r="S46" t="s">
        <v>117</v>
      </c>
      <c r="T46" t="s">
        <v>205</v>
      </c>
      <c r="U46" t="s">
        <v>190</v>
      </c>
      <c r="V46" t="s">
        <v>397</v>
      </c>
      <c r="W46">
        <v>45585</v>
      </c>
      <c r="X46">
        <v>44073</v>
      </c>
      <c r="Y46">
        <v>1512</v>
      </c>
      <c r="Z46">
        <v>3674</v>
      </c>
      <c r="AA46" t="s">
        <v>70</v>
      </c>
      <c r="AB46" s="4">
        <f t="shared" ca="1" si="1"/>
        <v>45870</v>
      </c>
      <c r="AC46" t="s">
        <v>71</v>
      </c>
      <c r="AD46" t="s">
        <v>72</v>
      </c>
      <c r="AE46">
        <v>6</v>
      </c>
      <c r="AF46">
        <v>46</v>
      </c>
      <c r="AG46">
        <v>49</v>
      </c>
      <c r="AH46" t="s">
        <v>73</v>
      </c>
      <c r="AI46">
        <v>100</v>
      </c>
      <c r="AJ46">
        <v>46</v>
      </c>
      <c r="AK46">
        <v>20</v>
      </c>
      <c r="AL46" t="s">
        <v>97</v>
      </c>
      <c r="AM46">
        <v>43</v>
      </c>
      <c r="AN46" t="s">
        <v>70</v>
      </c>
      <c r="AO46">
        <v>2</v>
      </c>
      <c r="AP46">
        <v>2</v>
      </c>
      <c r="AQ46" t="s">
        <v>509</v>
      </c>
      <c r="AR46" t="s">
        <v>510</v>
      </c>
      <c r="AS46" t="s">
        <v>98</v>
      </c>
      <c r="AT46" t="s">
        <v>101</v>
      </c>
      <c r="AU46" t="s">
        <v>126</v>
      </c>
      <c r="AV46" t="s">
        <v>147</v>
      </c>
    </row>
    <row r="47" spans="1:49" x14ac:dyDescent="0.25">
      <c r="A47" t="s">
        <v>441</v>
      </c>
      <c r="B47" t="s">
        <v>1367</v>
      </c>
      <c r="C47" t="s">
        <v>442</v>
      </c>
      <c r="D47" t="s">
        <v>130</v>
      </c>
      <c r="E47" t="s">
        <v>444</v>
      </c>
      <c r="F47" t="s">
        <v>445</v>
      </c>
      <c r="G47" t="s">
        <v>446</v>
      </c>
      <c r="H47" t="s">
        <v>1388</v>
      </c>
      <c r="I47">
        <v>85</v>
      </c>
      <c r="J47" t="s">
        <v>447</v>
      </c>
      <c r="K47" t="s">
        <v>169</v>
      </c>
      <c r="L47">
        <v>12</v>
      </c>
      <c r="M47" t="s">
        <v>112</v>
      </c>
      <c r="N47" t="s">
        <v>113</v>
      </c>
      <c r="O47" t="s">
        <v>448</v>
      </c>
      <c r="P47" t="s">
        <v>285</v>
      </c>
      <c r="Q47" t="s">
        <v>116</v>
      </c>
      <c r="R47" t="s">
        <v>140</v>
      </c>
      <c r="S47" t="s">
        <v>219</v>
      </c>
      <c r="T47" t="s">
        <v>205</v>
      </c>
      <c r="U47" t="s">
        <v>449</v>
      </c>
      <c r="V47" t="s">
        <v>246</v>
      </c>
      <c r="W47">
        <v>37907</v>
      </c>
      <c r="X47">
        <v>37497</v>
      </c>
      <c r="Y47">
        <v>410</v>
      </c>
      <c r="Z47">
        <v>3915</v>
      </c>
      <c r="AA47" t="s">
        <v>70</v>
      </c>
      <c r="AB47" s="4">
        <f t="shared" ca="1" si="1"/>
        <v>45983</v>
      </c>
      <c r="AC47" t="s">
        <v>71</v>
      </c>
      <c r="AD47" t="s">
        <v>95</v>
      </c>
      <c r="AE47">
        <v>5</v>
      </c>
      <c r="AF47">
        <v>58</v>
      </c>
      <c r="AG47">
        <v>74</v>
      </c>
      <c r="AH47" t="s">
        <v>73</v>
      </c>
      <c r="AI47">
        <v>84</v>
      </c>
      <c r="AJ47">
        <v>38</v>
      </c>
      <c r="AK47">
        <v>16</v>
      </c>
      <c r="AL47" t="s">
        <v>122</v>
      </c>
      <c r="AM47">
        <v>42</v>
      </c>
      <c r="AN47" t="s">
        <v>70</v>
      </c>
      <c r="AO47">
        <v>5</v>
      </c>
      <c r="AP47">
        <v>2</v>
      </c>
      <c r="AQ47" t="s">
        <v>307</v>
      </c>
      <c r="AR47" t="s">
        <v>450</v>
      </c>
      <c r="AS47" t="s">
        <v>70</v>
      </c>
      <c r="AT47" t="s">
        <v>177</v>
      </c>
      <c r="AU47" t="s">
        <v>160</v>
      </c>
      <c r="AV47" t="s">
        <v>147</v>
      </c>
    </row>
    <row r="48" spans="1:49" x14ac:dyDescent="0.25">
      <c r="A48" t="s">
        <v>584</v>
      </c>
      <c r="B48" t="s">
        <v>402</v>
      </c>
      <c r="C48" t="s">
        <v>585</v>
      </c>
      <c r="D48" t="s">
        <v>130</v>
      </c>
      <c r="E48" t="s">
        <v>586</v>
      </c>
      <c r="F48" t="s">
        <v>587</v>
      </c>
      <c r="G48" t="s">
        <v>588</v>
      </c>
      <c r="H48" t="s">
        <v>1391</v>
      </c>
      <c r="I48">
        <v>94</v>
      </c>
      <c r="J48" t="s">
        <v>589</v>
      </c>
      <c r="K48" t="s">
        <v>294</v>
      </c>
      <c r="L48">
        <v>12</v>
      </c>
      <c r="M48" t="s">
        <v>89</v>
      </c>
      <c r="N48" t="s">
        <v>220</v>
      </c>
      <c r="O48" t="s">
        <v>590</v>
      </c>
      <c r="P48" t="s">
        <v>285</v>
      </c>
      <c r="Q48" t="s">
        <v>116</v>
      </c>
      <c r="R48" t="s">
        <v>65</v>
      </c>
      <c r="S48" t="s">
        <v>219</v>
      </c>
      <c r="T48" t="s">
        <v>205</v>
      </c>
      <c r="U48" t="s">
        <v>438</v>
      </c>
      <c r="V48" t="s">
        <v>426</v>
      </c>
      <c r="W48">
        <v>36727</v>
      </c>
      <c r="X48">
        <v>35337</v>
      </c>
      <c r="Y48">
        <v>1390</v>
      </c>
      <c r="Z48">
        <v>4276</v>
      </c>
      <c r="AA48" t="s">
        <v>98</v>
      </c>
      <c r="AB48" s="4">
        <f t="shared" ca="1" si="1"/>
        <v>45980</v>
      </c>
      <c r="AC48" t="s">
        <v>71</v>
      </c>
      <c r="AD48" t="s">
        <v>121</v>
      </c>
      <c r="AE48">
        <v>3</v>
      </c>
      <c r="AF48">
        <v>71</v>
      </c>
      <c r="AG48">
        <v>88</v>
      </c>
      <c r="AH48" t="s">
        <v>73</v>
      </c>
      <c r="AI48">
        <v>71</v>
      </c>
      <c r="AJ48">
        <v>44</v>
      </c>
      <c r="AK48">
        <v>18</v>
      </c>
      <c r="AL48" t="s">
        <v>97</v>
      </c>
      <c r="AM48">
        <v>40</v>
      </c>
      <c r="AN48" t="s">
        <v>98</v>
      </c>
      <c r="AO48">
        <v>2</v>
      </c>
      <c r="AP48">
        <v>1</v>
      </c>
      <c r="AQ48" t="s">
        <v>307</v>
      </c>
      <c r="AR48" t="s">
        <v>351</v>
      </c>
      <c r="AS48" t="s">
        <v>70</v>
      </c>
      <c r="AT48" t="s">
        <v>177</v>
      </c>
      <c r="AU48" t="s">
        <v>160</v>
      </c>
      <c r="AV48" t="s">
        <v>147</v>
      </c>
    </row>
    <row r="49" spans="1:49" x14ac:dyDescent="0.25">
      <c r="A49" t="s">
        <v>148</v>
      </c>
      <c r="B49" t="s">
        <v>1368</v>
      </c>
      <c r="C49" t="s">
        <v>150</v>
      </c>
      <c r="D49" t="s">
        <v>52</v>
      </c>
      <c r="E49" t="s">
        <v>152</v>
      </c>
      <c r="F49" t="s">
        <v>153</v>
      </c>
      <c r="G49" t="s">
        <v>154</v>
      </c>
      <c r="H49" t="s">
        <v>1388</v>
      </c>
      <c r="I49">
        <v>95</v>
      </c>
      <c r="J49" t="s">
        <v>155</v>
      </c>
      <c r="K49" t="s">
        <v>59</v>
      </c>
      <c r="L49">
        <v>3</v>
      </c>
      <c r="M49" t="s">
        <v>60</v>
      </c>
      <c r="N49" t="s">
        <v>156</v>
      </c>
      <c r="O49" t="s">
        <v>100</v>
      </c>
      <c r="P49" t="s">
        <v>115</v>
      </c>
      <c r="Q49" t="s">
        <v>64</v>
      </c>
      <c r="R49" t="s">
        <v>140</v>
      </c>
      <c r="S49" t="s">
        <v>141</v>
      </c>
      <c r="T49" t="s">
        <v>118</v>
      </c>
      <c r="U49" t="s">
        <v>157</v>
      </c>
      <c r="V49" t="s">
        <v>157</v>
      </c>
      <c r="W49">
        <v>49463</v>
      </c>
      <c r="X49">
        <v>49078</v>
      </c>
      <c r="Y49">
        <v>385</v>
      </c>
      <c r="Z49">
        <v>1250</v>
      </c>
      <c r="AA49" t="s">
        <v>70</v>
      </c>
      <c r="AB49" s="4">
        <f t="shared" ca="1" si="1"/>
        <v>45912</v>
      </c>
      <c r="AC49" t="s">
        <v>71</v>
      </c>
      <c r="AD49" t="s">
        <v>121</v>
      </c>
      <c r="AE49">
        <v>5</v>
      </c>
      <c r="AF49">
        <v>86</v>
      </c>
      <c r="AG49">
        <v>96</v>
      </c>
      <c r="AH49" t="s">
        <v>73</v>
      </c>
      <c r="AI49">
        <v>80</v>
      </c>
      <c r="AJ49">
        <v>47</v>
      </c>
      <c r="AK49">
        <v>17</v>
      </c>
      <c r="AL49" t="s">
        <v>122</v>
      </c>
      <c r="AM49">
        <v>36</v>
      </c>
      <c r="AN49" t="s">
        <v>70</v>
      </c>
      <c r="AO49">
        <v>4</v>
      </c>
      <c r="AP49">
        <v>4</v>
      </c>
      <c r="AQ49" t="s">
        <v>158</v>
      </c>
      <c r="AR49" t="s">
        <v>159</v>
      </c>
      <c r="AS49" t="s">
        <v>98</v>
      </c>
      <c r="AT49" t="s">
        <v>125</v>
      </c>
      <c r="AU49" t="s">
        <v>160</v>
      </c>
      <c r="AV49" t="s">
        <v>78</v>
      </c>
      <c r="AW49" t="s">
        <v>79</v>
      </c>
    </row>
    <row r="50" spans="1:49" x14ac:dyDescent="0.25">
      <c r="A50" t="s">
        <v>542</v>
      </c>
      <c r="B50" t="s">
        <v>149</v>
      </c>
      <c r="C50" t="s">
        <v>543</v>
      </c>
      <c r="D50" t="s">
        <v>130</v>
      </c>
      <c r="E50" t="s">
        <v>545</v>
      </c>
      <c r="F50" t="s">
        <v>546</v>
      </c>
      <c r="G50" t="s">
        <v>547</v>
      </c>
      <c r="H50" t="s">
        <v>87</v>
      </c>
      <c r="I50">
        <v>84</v>
      </c>
      <c r="J50" t="s">
        <v>548</v>
      </c>
      <c r="K50" t="s">
        <v>242</v>
      </c>
      <c r="L50">
        <v>3</v>
      </c>
      <c r="M50" t="s">
        <v>60</v>
      </c>
      <c r="N50" t="s">
        <v>467</v>
      </c>
      <c r="O50" t="s">
        <v>549</v>
      </c>
      <c r="P50" t="s">
        <v>550</v>
      </c>
      <c r="Q50" t="s">
        <v>64</v>
      </c>
      <c r="R50" t="s">
        <v>65</v>
      </c>
      <c r="S50" t="s">
        <v>219</v>
      </c>
      <c r="T50" t="s">
        <v>67</v>
      </c>
      <c r="U50" t="s">
        <v>551</v>
      </c>
      <c r="V50" t="s">
        <v>467</v>
      </c>
      <c r="W50">
        <v>35441</v>
      </c>
      <c r="X50">
        <v>34902</v>
      </c>
      <c r="Y50">
        <v>539</v>
      </c>
      <c r="Z50">
        <v>3148</v>
      </c>
      <c r="AA50" t="s">
        <v>70</v>
      </c>
      <c r="AB50" s="4">
        <f t="shared" ca="1" si="1"/>
        <v>45967</v>
      </c>
      <c r="AC50" t="s">
        <v>71</v>
      </c>
      <c r="AD50" t="s">
        <v>95</v>
      </c>
      <c r="AE50">
        <v>5</v>
      </c>
      <c r="AF50">
        <v>62</v>
      </c>
      <c r="AG50">
        <v>71</v>
      </c>
      <c r="AH50" t="s">
        <v>234</v>
      </c>
      <c r="AI50">
        <v>91</v>
      </c>
      <c r="AJ50">
        <v>56</v>
      </c>
      <c r="AK50">
        <v>18</v>
      </c>
      <c r="AL50" t="s">
        <v>122</v>
      </c>
      <c r="AM50">
        <v>32</v>
      </c>
      <c r="AN50" t="s">
        <v>98</v>
      </c>
      <c r="AO50">
        <v>5</v>
      </c>
      <c r="AP50">
        <v>4</v>
      </c>
      <c r="AQ50" t="s">
        <v>68</v>
      </c>
      <c r="AR50" t="s">
        <v>99</v>
      </c>
      <c r="AS50" t="s">
        <v>70</v>
      </c>
      <c r="AT50" t="s">
        <v>287</v>
      </c>
      <c r="AU50" t="s">
        <v>126</v>
      </c>
      <c r="AV50" t="s">
        <v>147</v>
      </c>
    </row>
    <row r="51" spans="1:49" x14ac:dyDescent="0.25">
      <c r="A51" t="s">
        <v>606</v>
      </c>
      <c r="B51" t="s">
        <v>421</v>
      </c>
      <c r="C51" t="s">
        <v>607</v>
      </c>
      <c r="D51" t="s">
        <v>130</v>
      </c>
      <c r="E51" t="s">
        <v>608</v>
      </c>
      <c r="F51" t="s">
        <v>609</v>
      </c>
      <c r="G51" t="s">
        <v>610</v>
      </c>
      <c r="H51" t="s">
        <v>135</v>
      </c>
      <c r="I51">
        <v>61</v>
      </c>
      <c r="J51" t="s">
        <v>611</v>
      </c>
      <c r="K51" t="s">
        <v>169</v>
      </c>
      <c r="L51">
        <v>3</v>
      </c>
      <c r="M51" t="s">
        <v>89</v>
      </c>
      <c r="N51" t="s">
        <v>321</v>
      </c>
      <c r="O51" t="s">
        <v>415</v>
      </c>
      <c r="P51" t="s">
        <v>396</v>
      </c>
      <c r="Q51" t="s">
        <v>116</v>
      </c>
      <c r="R51" t="s">
        <v>140</v>
      </c>
      <c r="S51" t="s">
        <v>219</v>
      </c>
      <c r="T51" t="s">
        <v>67</v>
      </c>
      <c r="U51" t="s">
        <v>502</v>
      </c>
      <c r="V51" t="s">
        <v>174</v>
      </c>
      <c r="W51">
        <v>22307</v>
      </c>
      <c r="X51">
        <v>21738</v>
      </c>
      <c r="Y51">
        <v>569</v>
      </c>
      <c r="Z51">
        <v>659</v>
      </c>
      <c r="AA51" t="s">
        <v>70</v>
      </c>
      <c r="AB51" s="4">
        <f t="shared" ca="1" si="1"/>
        <v>45858</v>
      </c>
      <c r="AC51" t="s">
        <v>71</v>
      </c>
      <c r="AD51" t="s">
        <v>191</v>
      </c>
      <c r="AE51">
        <v>10</v>
      </c>
      <c r="AF51">
        <v>47</v>
      </c>
      <c r="AG51">
        <v>51</v>
      </c>
      <c r="AH51" t="s">
        <v>73</v>
      </c>
      <c r="AI51">
        <v>61</v>
      </c>
      <c r="AJ51">
        <v>57</v>
      </c>
      <c r="AK51">
        <v>16</v>
      </c>
      <c r="AM51">
        <v>28</v>
      </c>
      <c r="AN51" t="s">
        <v>70</v>
      </c>
      <c r="AO51">
        <v>3</v>
      </c>
      <c r="AP51">
        <v>2</v>
      </c>
      <c r="AQ51" t="s">
        <v>477</v>
      </c>
      <c r="AR51" t="s">
        <v>415</v>
      </c>
      <c r="AS51" t="s">
        <v>70</v>
      </c>
      <c r="AT51" t="s">
        <v>76</v>
      </c>
      <c r="AU51" t="s">
        <v>126</v>
      </c>
      <c r="AV51" t="s">
        <v>78</v>
      </c>
      <c r="AW51" t="s">
        <v>79</v>
      </c>
    </row>
  </sheetData>
  <conditionalFormatting sqref="B1 B4:B5 B7 B11 B15:B22 B24 B26 B28:B29 B31:B33 B36:B45 B48 B50:B1048576">
    <cfRule type="duplicateValues" dxfId="8" priority="43"/>
  </conditionalFormatting>
  <conditionalFormatting sqref="B1:B1048576">
    <cfRule type="duplicateValues" dxfId="7" priority="55"/>
  </conditionalFormatting>
  <conditionalFormatting sqref="AM1:AM1048576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84525-7670-41D5-9582-71E9100390E6}">
  <dimension ref="A1:AX151"/>
  <sheetViews>
    <sheetView tabSelected="1" topLeftCell="AN1" workbookViewId="0">
      <selection activeCell="AT8" sqref="AT8"/>
    </sheetView>
  </sheetViews>
  <sheetFormatPr defaultRowHeight="15" x14ac:dyDescent="0.25"/>
  <cols>
    <col min="1" max="1" width="10.28515625" bestFit="1" customWidth="1"/>
    <col min="2" max="2" width="19.5703125" bestFit="1" customWidth="1"/>
    <col min="3" max="3" width="12.140625" bestFit="1" customWidth="1"/>
    <col min="4" max="4" width="7.5703125" bestFit="1" customWidth="1"/>
    <col min="5" max="5" width="22.140625" bestFit="1" customWidth="1"/>
    <col min="6" max="6" width="28.5703125" bestFit="1" customWidth="1"/>
    <col min="7" max="7" width="22.28515625" bestFit="1" customWidth="1"/>
    <col min="8" max="8" width="29.140625" bestFit="1" customWidth="1"/>
    <col min="9" max="9" width="33.85546875" bestFit="1" customWidth="1"/>
    <col min="10" max="10" width="18.140625" bestFit="1" customWidth="1"/>
    <col min="11" max="11" width="15.42578125" bestFit="1" customWidth="1"/>
    <col min="12" max="12" width="24.28515625" bestFit="1" customWidth="1"/>
    <col min="13" max="13" width="10.140625" bestFit="1" customWidth="1"/>
    <col min="14" max="14" width="15.140625" bestFit="1" customWidth="1"/>
    <col min="15" max="15" width="14.28515625" bestFit="1" customWidth="1"/>
    <col min="16" max="16" width="20" bestFit="1" customWidth="1"/>
    <col min="17" max="17" width="7.28515625" bestFit="1" customWidth="1"/>
    <col min="18" max="18" width="12.85546875" bestFit="1" customWidth="1"/>
    <col min="19" max="19" width="10" bestFit="1" customWidth="1"/>
    <col min="20" max="20" width="12.140625" bestFit="1" customWidth="1"/>
    <col min="21" max="21" width="15.5703125" bestFit="1" customWidth="1"/>
    <col min="22" max="22" width="16.42578125" bestFit="1" customWidth="1"/>
    <col min="23" max="23" width="16.7109375" bestFit="1" customWidth="1"/>
    <col min="24" max="24" width="12.42578125" bestFit="1" customWidth="1"/>
    <col min="25" max="25" width="16" bestFit="1" customWidth="1"/>
    <col min="26" max="26" width="14.42578125" bestFit="1" customWidth="1"/>
    <col min="27" max="27" width="15.5703125" bestFit="1" customWidth="1"/>
    <col min="28" max="28" width="22.5703125" bestFit="1" customWidth="1"/>
    <col min="29" max="29" width="14.85546875" bestFit="1" customWidth="1"/>
    <col min="30" max="30" width="16.42578125" bestFit="1" customWidth="1"/>
    <col min="31" max="31" width="21.7109375" bestFit="1" customWidth="1"/>
    <col min="32" max="32" width="18" bestFit="1" customWidth="1"/>
    <col min="33" max="33" width="13.85546875" bestFit="1" customWidth="1"/>
    <col min="34" max="34" width="19.5703125" bestFit="1" customWidth="1"/>
    <col min="35" max="35" width="30.140625" bestFit="1" customWidth="1"/>
    <col min="36" max="36" width="22.7109375" bestFit="1" customWidth="1"/>
    <col min="37" max="37" width="16.42578125" bestFit="1" customWidth="1"/>
    <col min="38" max="38" width="20.5703125" bestFit="1" customWidth="1"/>
    <col min="39" max="39" width="14.85546875" bestFit="1" customWidth="1"/>
    <col min="40" max="40" width="21.85546875" bestFit="1" customWidth="1"/>
    <col min="41" max="41" width="15.85546875" bestFit="1" customWidth="1"/>
    <col min="42" max="42" width="17" bestFit="1" customWidth="1"/>
    <col min="43" max="43" width="18.140625" bestFit="1" customWidth="1"/>
    <col min="44" max="44" width="14.7109375" bestFit="1" customWidth="1"/>
    <col min="45" max="45" width="16.42578125" bestFit="1" customWidth="1"/>
    <col min="46" max="46" width="12.5703125" bestFit="1" customWidth="1"/>
    <col min="47" max="47" width="31.28515625" bestFit="1" customWidth="1"/>
    <col min="48" max="48" width="14.28515625" bestFit="1" customWidth="1"/>
    <col min="49" max="49" width="17.85546875" bestFit="1" customWidth="1"/>
  </cols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1396</v>
      </c>
    </row>
    <row r="2" spans="1:50" x14ac:dyDescent="0.25">
      <c r="A2" t="s">
        <v>178</v>
      </c>
      <c r="B2" t="s">
        <v>267</v>
      </c>
      <c r="C2" t="s">
        <v>180</v>
      </c>
      <c r="D2" t="s">
        <v>52</v>
      </c>
      <c r="E2" t="s">
        <v>182</v>
      </c>
      <c r="F2" t="s">
        <v>183</v>
      </c>
      <c r="G2" t="s">
        <v>1397</v>
      </c>
      <c r="H2" t="s">
        <v>1389</v>
      </c>
      <c r="I2">
        <v>82</v>
      </c>
      <c r="J2" t="s">
        <v>185</v>
      </c>
      <c r="K2" t="s">
        <v>59</v>
      </c>
      <c r="L2">
        <v>6</v>
      </c>
      <c r="M2" t="s">
        <v>60</v>
      </c>
      <c r="N2" t="s">
        <v>186</v>
      </c>
      <c r="O2" t="s">
        <v>187</v>
      </c>
      <c r="P2" t="s">
        <v>188</v>
      </c>
      <c r="Q2" t="s">
        <v>116</v>
      </c>
      <c r="R2" t="s">
        <v>65</v>
      </c>
      <c r="S2" t="s">
        <v>66</v>
      </c>
      <c r="T2" t="s">
        <v>67</v>
      </c>
      <c r="U2" t="s">
        <v>189</v>
      </c>
      <c r="V2" t="s">
        <v>190</v>
      </c>
      <c r="W2">
        <v>43018</v>
      </c>
      <c r="X2">
        <v>39256</v>
      </c>
      <c r="Y2">
        <v>3762</v>
      </c>
      <c r="Z2">
        <v>4189</v>
      </c>
      <c r="AA2" t="s">
        <v>70</v>
      </c>
      <c r="AB2" s="4">
        <f t="shared" ref="AB2:AB51" ca="1" si="0">RANDBETWEEN(DATE(2025,7,1),DATE(2025,12,31))</f>
        <v>45872</v>
      </c>
      <c r="AC2" t="s">
        <v>71</v>
      </c>
      <c r="AD2" t="s">
        <v>191</v>
      </c>
      <c r="AE2">
        <v>5</v>
      </c>
      <c r="AF2">
        <v>41</v>
      </c>
      <c r="AG2">
        <v>77</v>
      </c>
      <c r="AH2" t="s">
        <v>73</v>
      </c>
      <c r="AI2">
        <v>81</v>
      </c>
      <c r="AJ2">
        <v>24</v>
      </c>
      <c r="AK2">
        <v>24</v>
      </c>
      <c r="AL2" t="s">
        <v>97</v>
      </c>
      <c r="AM2">
        <v>100</v>
      </c>
      <c r="AN2" t="s">
        <v>98</v>
      </c>
      <c r="AO2">
        <v>3</v>
      </c>
      <c r="AP2">
        <v>5</v>
      </c>
      <c r="AQ2" t="s">
        <v>123</v>
      </c>
      <c r="AR2" t="s">
        <v>192</v>
      </c>
      <c r="AS2" t="s">
        <v>70</v>
      </c>
      <c r="AT2" t="s">
        <v>177</v>
      </c>
      <c r="AU2" t="s">
        <v>126</v>
      </c>
      <c r="AV2" t="s">
        <v>78</v>
      </c>
      <c r="AW2" t="s">
        <v>102</v>
      </c>
      <c r="AX2" t="str">
        <f>IF(LEFT(A2,2)="AU","Aundh",IF(LEFT(A2,2)="KO","Kondhwa","Sinhgad Road"))</f>
        <v>Aundh</v>
      </c>
    </row>
    <row r="3" spans="1:50" x14ac:dyDescent="0.25">
      <c r="A3" t="s">
        <v>599</v>
      </c>
      <c r="B3" t="s">
        <v>1352</v>
      </c>
      <c r="C3" t="s">
        <v>600</v>
      </c>
      <c r="D3" t="s">
        <v>52</v>
      </c>
      <c r="E3" t="s">
        <v>601</v>
      </c>
      <c r="F3" t="s">
        <v>602</v>
      </c>
      <c r="G3" t="s">
        <v>603</v>
      </c>
      <c r="H3" t="s">
        <v>135</v>
      </c>
      <c r="I3">
        <v>87</v>
      </c>
      <c r="J3" t="s">
        <v>604</v>
      </c>
      <c r="K3" t="s">
        <v>59</v>
      </c>
      <c r="L3">
        <v>3</v>
      </c>
      <c r="M3" t="s">
        <v>112</v>
      </c>
      <c r="N3" t="s">
        <v>90</v>
      </c>
      <c r="O3" t="s">
        <v>69</v>
      </c>
      <c r="P3" t="s">
        <v>559</v>
      </c>
      <c r="Q3" t="s">
        <v>116</v>
      </c>
      <c r="R3" t="s">
        <v>140</v>
      </c>
      <c r="S3" t="s">
        <v>141</v>
      </c>
      <c r="T3" t="s">
        <v>273</v>
      </c>
      <c r="U3" t="s">
        <v>598</v>
      </c>
      <c r="V3" t="s">
        <v>137</v>
      </c>
      <c r="W3">
        <v>20086</v>
      </c>
      <c r="X3">
        <v>19800</v>
      </c>
      <c r="Y3">
        <v>286</v>
      </c>
      <c r="Z3">
        <v>1952</v>
      </c>
      <c r="AA3" t="s">
        <v>70</v>
      </c>
      <c r="AB3" s="4">
        <f t="shared" ca="1" si="0"/>
        <v>46011</v>
      </c>
      <c r="AC3" t="s">
        <v>71</v>
      </c>
      <c r="AD3" t="s">
        <v>95</v>
      </c>
      <c r="AE3">
        <v>9</v>
      </c>
      <c r="AF3">
        <v>67</v>
      </c>
      <c r="AG3">
        <v>86</v>
      </c>
      <c r="AH3" t="s">
        <v>96</v>
      </c>
      <c r="AI3">
        <v>67</v>
      </c>
      <c r="AJ3">
        <v>22</v>
      </c>
      <c r="AK3">
        <v>22</v>
      </c>
      <c r="AM3">
        <v>100</v>
      </c>
      <c r="AN3" t="s">
        <v>70</v>
      </c>
      <c r="AO3">
        <v>5</v>
      </c>
      <c r="AP3">
        <v>4</v>
      </c>
      <c r="AQ3" t="s">
        <v>450</v>
      </c>
      <c r="AR3" t="s">
        <v>605</v>
      </c>
      <c r="AS3" t="s">
        <v>70</v>
      </c>
      <c r="AT3" t="s">
        <v>101</v>
      </c>
      <c r="AU3" t="s">
        <v>77</v>
      </c>
      <c r="AV3" t="s">
        <v>78</v>
      </c>
      <c r="AW3" t="s">
        <v>276</v>
      </c>
      <c r="AX3" t="str">
        <f t="shared" ref="AX3:AX66" si="1">IF(LEFT(A3,2)="AU","Aundh",IF(LEFT(A3,2)="KO","Kondhwa","Sinhgad Road"))</f>
        <v>Aundh</v>
      </c>
    </row>
    <row r="4" spans="1:50" x14ac:dyDescent="0.25">
      <c r="A4" t="s">
        <v>288</v>
      </c>
      <c r="B4" t="s">
        <v>1387</v>
      </c>
      <c r="C4" t="s">
        <v>289</v>
      </c>
      <c r="D4" t="s">
        <v>52</v>
      </c>
      <c r="E4" t="s">
        <v>290</v>
      </c>
      <c r="F4" t="s">
        <v>291</v>
      </c>
      <c r="G4" t="s">
        <v>292</v>
      </c>
      <c r="H4" t="s">
        <v>1391</v>
      </c>
      <c r="I4">
        <v>79</v>
      </c>
      <c r="J4" t="s">
        <v>293</v>
      </c>
      <c r="K4" t="s">
        <v>294</v>
      </c>
      <c r="L4">
        <v>6</v>
      </c>
      <c r="M4" t="s">
        <v>89</v>
      </c>
      <c r="N4" t="s">
        <v>295</v>
      </c>
      <c r="O4" t="s">
        <v>296</v>
      </c>
      <c r="P4" t="s">
        <v>297</v>
      </c>
      <c r="Q4" t="s">
        <v>64</v>
      </c>
      <c r="R4" t="s">
        <v>140</v>
      </c>
      <c r="S4" t="s">
        <v>219</v>
      </c>
      <c r="T4" t="s">
        <v>205</v>
      </c>
      <c r="U4" t="s">
        <v>247</v>
      </c>
      <c r="V4" t="s">
        <v>260</v>
      </c>
      <c r="W4">
        <v>33714</v>
      </c>
      <c r="X4">
        <v>33476</v>
      </c>
      <c r="Y4">
        <v>238</v>
      </c>
      <c r="Z4">
        <v>1249</v>
      </c>
      <c r="AA4" t="s">
        <v>98</v>
      </c>
      <c r="AB4" s="4">
        <f t="shared" ca="1" si="0"/>
        <v>45883</v>
      </c>
      <c r="AC4" t="s">
        <v>71</v>
      </c>
      <c r="AD4" t="s">
        <v>95</v>
      </c>
      <c r="AE4">
        <v>8</v>
      </c>
      <c r="AF4">
        <v>66</v>
      </c>
      <c r="AG4">
        <v>79</v>
      </c>
      <c r="AH4" t="s">
        <v>234</v>
      </c>
      <c r="AI4">
        <v>85</v>
      </c>
      <c r="AJ4">
        <v>51</v>
      </c>
      <c r="AK4">
        <v>50</v>
      </c>
      <c r="AM4">
        <v>100</v>
      </c>
      <c r="AN4" t="s">
        <v>70</v>
      </c>
      <c r="AO4">
        <v>2</v>
      </c>
      <c r="AP4">
        <v>5</v>
      </c>
      <c r="AQ4" t="s">
        <v>220</v>
      </c>
      <c r="AR4" t="s">
        <v>207</v>
      </c>
      <c r="AS4" t="s">
        <v>70</v>
      </c>
      <c r="AT4" t="s">
        <v>125</v>
      </c>
      <c r="AU4" t="s">
        <v>77</v>
      </c>
      <c r="AV4" t="s">
        <v>78</v>
      </c>
      <c r="AW4" t="s">
        <v>102</v>
      </c>
      <c r="AX4" t="str">
        <f t="shared" si="1"/>
        <v>Aundh</v>
      </c>
    </row>
    <row r="5" spans="1:50" x14ac:dyDescent="0.25">
      <c r="A5" t="s">
        <v>568</v>
      </c>
      <c r="B5" t="s">
        <v>569</v>
      </c>
      <c r="C5" t="s">
        <v>570</v>
      </c>
      <c r="D5" t="s">
        <v>130</v>
      </c>
      <c r="E5" t="s">
        <v>571</v>
      </c>
      <c r="F5" t="s">
        <v>572</v>
      </c>
      <c r="G5" t="s">
        <v>540</v>
      </c>
      <c r="H5" t="s">
        <v>1388</v>
      </c>
      <c r="I5">
        <v>70</v>
      </c>
      <c r="J5" t="s">
        <v>573</v>
      </c>
      <c r="K5" t="s">
        <v>169</v>
      </c>
      <c r="L5">
        <v>6</v>
      </c>
      <c r="M5" t="s">
        <v>89</v>
      </c>
      <c r="N5" t="s">
        <v>438</v>
      </c>
      <c r="O5" t="s">
        <v>192</v>
      </c>
      <c r="P5" t="s">
        <v>172</v>
      </c>
      <c r="Q5" t="s">
        <v>64</v>
      </c>
      <c r="R5" t="s">
        <v>65</v>
      </c>
      <c r="S5" t="s">
        <v>219</v>
      </c>
      <c r="T5" t="s">
        <v>142</v>
      </c>
      <c r="U5" t="s">
        <v>94</v>
      </c>
      <c r="V5" t="s">
        <v>502</v>
      </c>
      <c r="W5">
        <v>26521</v>
      </c>
      <c r="X5">
        <v>25742</v>
      </c>
      <c r="Y5">
        <v>779</v>
      </c>
      <c r="Z5">
        <v>1089</v>
      </c>
      <c r="AA5" t="s">
        <v>70</v>
      </c>
      <c r="AB5" s="4">
        <f t="shared" ca="1" si="0"/>
        <v>45909</v>
      </c>
      <c r="AC5" t="s">
        <v>71</v>
      </c>
      <c r="AD5" t="s">
        <v>191</v>
      </c>
      <c r="AE5">
        <v>7</v>
      </c>
      <c r="AF5">
        <v>79</v>
      </c>
      <c r="AG5">
        <v>79</v>
      </c>
      <c r="AH5" t="s">
        <v>96</v>
      </c>
      <c r="AI5">
        <v>78</v>
      </c>
      <c r="AJ5">
        <v>36</v>
      </c>
      <c r="AK5">
        <v>35</v>
      </c>
      <c r="AM5">
        <v>97</v>
      </c>
      <c r="AN5" t="s">
        <v>98</v>
      </c>
      <c r="AO5">
        <v>5</v>
      </c>
      <c r="AP5">
        <v>1</v>
      </c>
      <c r="AQ5" t="s">
        <v>99</v>
      </c>
      <c r="AR5" t="s">
        <v>574</v>
      </c>
      <c r="AS5" t="s">
        <v>98</v>
      </c>
      <c r="AT5" t="s">
        <v>101</v>
      </c>
      <c r="AU5" t="s">
        <v>77</v>
      </c>
      <c r="AV5" t="s">
        <v>78</v>
      </c>
      <c r="AW5" t="s">
        <v>79</v>
      </c>
      <c r="AX5" t="str">
        <f t="shared" si="1"/>
        <v>Aundh</v>
      </c>
    </row>
    <row r="6" spans="1:50" x14ac:dyDescent="0.25">
      <c r="A6" t="s">
        <v>311</v>
      </c>
      <c r="B6" t="s">
        <v>1353</v>
      </c>
      <c r="C6" t="s">
        <v>312</v>
      </c>
      <c r="D6" t="s">
        <v>52</v>
      </c>
      <c r="E6" t="s">
        <v>314</v>
      </c>
      <c r="F6" t="s">
        <v>315</v>
      </c>
      <c r="G6" t="s">
        <v>316</v>
      </c>
      <c r="H6" t="s">
        <v>87</v>
      </c>
      <c r="I6">
        <v>75</v>
      </c>
      <c r="J6" t="s">
        <v>317</v>
      </c>
      <c r="K6" t="s">
        <v>294</v>
      </c>
      <c r="L6">
        <v>12</v>
      </c>
      <c r="M6" t="s">
        <v>89</v>
      </c>
      <c r="N6" t="s">
        <v>318</v>
      </c>
      <c r="O6" t="s">
        <v>319</v>
      </c>
      <c r="P6" t="s">
        <v>320</v>
      </c>
      <c r="Q6" t="s">
        <v>116</v>
      </c>
      <c r="R6" t="s">
        <v>65</v>
      </c>
      <c r="S6" t="s">
        <v>141</v>
      </c>
      <c r="T6" t="s">
        <v>142</v>
      </c>
      <c r="U6" t="s">
        <v>321</v>
      </c>
      <c r="V6" t="s">
        <v>321</v>
      </c>
      <c r="W6">
        <v>41229</v>
      </c>
      <c r="X6">
        <v>40571</v>
      </c>
      <c r="Y6">
        <v>658</v>
      </c>
      <c r="Z6">
        <v>4623</v>
      </c>
      <c r="AA6" t="s">
        <v>98</v>
      </c>
      <c r="AB6" s="4">
        <f t="shared" ca="1" si="0"/>
        <v>45948</v>
      </c>
      <c r="AC6" t="s">
        <v>71</v>
      </c>
      <c r="AD6" t="s">
        <v>95</v>
      </c>
      <c r="AE6">
        <v>6</v>
      </c>
      <c r="AF6">
        <v>41</v>
      </c>
      <c r="AG6">
        <v>93</v>
      </c>
      <c r="AH6" t="s">
        <v>234</v>
      </c>
      <c r="AI6">
        <v>85</v>
      </c>
      <c r="AJ6">
        <v>33</v>
      </c>
      <c r="AK6">
        <v>32</v>
      </c>
      <c r="AM6">
        <v>96</v>
      </c>
      <c r="AN6" t="s">
        <v>98</v>
      </c>
      <c r="AO6">
        <v>1</v>
      </c>
      <c r="AP6">
        <v>1</v>
      </c>
      <c r="AQ6" t="s">
        <v>322</v>
      </c>
      <c r="AR6" t="s">
        <v>209</v>
      </c>
      <c r="AS6" t="s">
        <v>98</v>
      </c>
      <c r="AT6" t="s">
        <v>101</v>
      </c>
      <c r="AU6" t="s">
        <v>160</v>
      </c>
      <c r="AV6" t="s">
        <v>78</v>
      </c>
      <c r="AW6" t="s">
        <v>102</v>
      </c>
      <c r="AX6" t="str">
        <f t="shared" si="1"/>
        <v>Aundh</v>
      </c>
    </row>
    <row r="7" spans="1:50" x14ac:dyDescent="0.25">
      <c r="A7" t="s">
        <v>49</v>
      </c>
      <c r="B7" t="s">
        <v>50</v>
      </c>
      <c r="C7" t="s">
        <v>51</v>
      </c>
      <c r="D7" t="s">
        <v>52</v>
      </c>
      <c r="E7" t="s">
        <v>54</v>
      </c>
      <c r="F7" t="s">
        <v>55</v>
      </c>
      <c r="G7" t="s">
        <v>56</v>
      </c>
      <c r="H7" t="s">
        <v>1391</v>
      </c>
      <c r="I7">
        <v>77</v>
      </c>
      <c r="J7" t="s">
        <v>58</v>
      </c>
      <c r="K7" t="s">
        <v>59</v>
      </c>
      <c r="L7">
        <v>12</v>
      </c>
      <c r="M7" t="s">
        <v>60</v>
      </c>
      <c r="N7" t="s">
        <v>61</v>
      </c>
      <c r="O7" t="s">
        <v>62</v>
      </c>
      <c r="P7" t="s">
        <v>63</v>
      </c>
      <c r="Q7" t="s">
        <v>64</v>
      </c>
      <c r="R7" t="s">
        <v>65</v>
      </c>
      <c r="S7" t="s">
        <v>66</v>
      </c>
      <c r="T7" t="s">
        <v>67</v>
      </c>
      <c r="U7" t="s">
        <v>68</v>
      </c>
      <c r="V7" t="s">
        <v>69</v>
      </c>
      <c r="W7">
        <v>42851</v>
      </c>
      <c r="X7">
        <v>40171</v>
      </c>
      <c r="Y7">
        <v>2680</v>
      </c>
      <c r="Z7">
        <v>4474</v>
      </c>
      <c r="AA7" t="s">
        <v>70</v>
      </c>
      <c r="AB7" s="4">
        <f t="shared" ca="1" si="0"/>
        <v>45849</v>
      </c>
      <c r="AC7" t="s">
        <v>71</v>
      </c>
      <c r="AD7" t="s">
        <v>72</v>
      </c>
      <c r="AE7">
        <v>1</v>
      </c>
      <c r="AF7">
        <v>46</v>
      </c>
      <c r="AG7">
        <v>96</v>
      </c>
      <c r="AH7" t="s">
        <v>73</v>
      </c>
      <c r="AI7">
        <v>71</v>
      </c>
      <c r="AJ7">
        <v>45</v>
      </c>
      <c r="AK7">
        <v>43</v>
      </c>
      <c r="AM7">
        <v>95</v>
      </c>
      <c r="AN7" t="s">
        <v>70</v>
      </c>
      <c r="AO7">
        <v>2</v>
      </c>
      <c r="AP7">
        <v>4</v>
      </c>
      <c r="AQ7" t="s">
        <v>74</v>
      </c>
      <c r="AR7" t="s">
        <v>75</v>
      </c>
      <c r="AS7" t="s">
        <v>70</v>
      </c>
      <c r="AT7" t="s">
        <v>76</v>
      </c>
      <c r="AU7" t="s">
        <v>77</v>
      </c>
      <c r="AV7" t="s">
        <v>78</v>
      </c>
      <c r="AW7" t="s">
        <v>79</v>
      </c>
      <c r="AX7" t="str">
        <f t="shared" si="1"/>
        <v>Aundh</v>
      </c>
    </row>
    <row r="8" spans="1:50" x14ac:dyDescent="0.25">
      <c r="A8" t="s">
        <v>451</v>
      </c>
      <c r="B8" t="s">
        <v>1354</v>
      </c>
      <c r="C8" t="s">
        <v>452</v>
      </c>
      <c r="D8" t="s">
        <v>130</v>
      </c>
      <c r="E8" t="s">
        <v>453</v>
      </c>
      <c r="F8" t="s">
        <v>454</v>
      </c>
      <c r="G8" t="s">
        <v>455</v>
      </c>
      <c r="H8" t="s">
        <v>1388</v>
      </c>
      <c r="I8">
        <v>94</v>
      </c>
      <c r="J8" t="s">
        <v>456</v>
      </c>
      <c r="K8" t="s">
        <v>294</v>
      </c>
      <c r="L8">
        <v>3</v>
      </c>
      <c r="M8" t="s">
        <v>112</v>
      </c>
      <c r="N8" t="s">
        <v>457</v>
      </c>
      <c r="O8" t="s">
        <v>174</v>
      </c>
      <c r="P8" t="s">
        <v>172</v>
      </c>
      <c r="Q8" t="s">
        <v>204</v>
      </c>
      <c r="R8" t="s">
        <v>140</v>
      </c>
      <c r="S8" t="s">
        <v>66</v>
      </c>
      <c r="T8" t="s">
        <v>118</v>
      </c>
      <c r="U8" t="s">
        <v>321</v>
      </c>
      <c r="V8" t="s">
        <v>246</v>
      </c>
      <c r="W8">
        <v>21243</v>
      </c>
      <c r="X8">
        <v>20076</v>
      </c>
      <c r="Y8">
        <v>1167</v>
      </c>
      <c r="Z8">
        <v>3153</v>
      </c>
      <c r="AA8" t="s">
        <v>98</v>
      </c>
      <c r="AB8" s="4">
        <f t="shared" ca="1" si="0"/>
        <v>45958</v>
      </c>
      <c r="AC8" t="s">
        <v>71</v>
      </c>
      <c r="AD8" t="s">
        <v>121</v>
      </c>
      <c r="AE8">
        <v>2</v>
      </c>
      <c r="AF8">
        <v>67</v>
      </c>
      <c r="AG8">
        <v>70</v>
      </c>
      <c r="AH8" t="s">
        <v>234</v>
      </c>
      <c r="AI8">
        <v>82</v>
      </c>
      <c r="AJ8">
        <v>60</v>
      </c>
      <c r="AK8">
        <v>57</v>
      </c>
      <c r="AL8" t="s">
        <v>97</v>
      </c>
      <c r="AM8">
        <v>95</v>
      </c>
      <c r="AN8" t="s">
        <v>98</v>
      </c>
      <c r="AO8">
        <v>5</v>
      </c>
      <c r="AP8">
        <v>4</v>
      </c>
      <c r="AQ8" t="s">
        <v>275</v>
      </c>
      <c r="AR8" t="s">
        <v>209</v>
      </c>
      <c r="AS8" t="s">
        <v>98</v>
      </c>
      <c r="AT8" t="s">
        <v>287</v>
      </c>
      <c r="AU8" t="s">
        <v>160</v>
      </c>
      <c r="AV8" t="s">
        <v>147</v>
      </c>
      <c r="AX8" t="str">
        <f t="shared" si="1"/>
        <v>Aundh</v>
      </c>
    </row>
    <row r="9" spans="1:50" x14ac:dyDescent="0.25">
      <c r="A9" t="s">
        <v>277</v>
      </c>
      <c r="B9" t="s">
        <v>1356</v>
      </c>
      <c r="C9" t="s">
        <v>279</v>
      </c>
      <c r="D9" t="s">
        <v>130</v>
      </c>
      <c r="E9" t="s">
        <v>280</v>
      </c>
      <c r="F9" t="s">
        <v>281</v>
      </c>
      <c r="G9" t="s">
        <v>282</v>
      </c>
      <c r="H9" t="s">
        <v>135</v>
      </c>
      <c r="I9">
        <v>62</v>
      </c>
      <c r="J9" t="s">
        <v>283</v>
      </c>
      <c r="K9" t="s">
        <v>242</v>
      </c>
      <c r="L9">
        <v>12</v>
      </c>
      <c r="M9" t="s">
        <v>89</v>
      </c>
      <c r="N9" t="s">
        <v>201</v>
      </c>
      <c r="O9" t="s">
        <v>284</v>
      </c>
      <c r="P9" t="s">
        <v>285</v>
      </c>
      <c r="Q9" t="s">
        <v>204</v>
      </c>
      <c r="R9" t="s">
        <v>65</v>
      </c>
      <c r="S9" t="s">
        <v>117</v>
      </c>
      <c r="T9" t="s">
        <v>142</v>
      </c>
      <c r="U9" t="s">
        <v>274</v>
      </c>
      <c r="V9" t="s">
        <v>274</v>
      </c>
      <c r="W9">
        <v>24474</v>
      </c>
      <c r="X9">
        <v>20873</v>
      </c>
      <c r="Y9">
        <v>3601</v>
      </c>
      <c r="Z9">
        <v>4292</v>
      </c>
      <c r="AA9" t="s">
        <v>70</v>
      </c>
      <c r="AB9" s="4">
        <f t="shared" ca="1" si="0"/>
        <v>45968</v>
      </c>
      <c r="AC9" t="s">
        <v>71</v>
      </c>
      <c r="AD9" t="s">
        <v>72</v>
      </c>
      <c r="AE9">
        <v>6</v>
      </c>
      <c r="AF9">
        <v>44</v>
      </c>
      <c r="AG9">
        <v>50</v>
      </c>
      <c r="AH9" t="s">
        <v>234</v>
      </c>
      <c r="AI9">
        <v>91</v>
      </c>
      <c r="AJ9">
        <v>34</v>
      </c>
      <c r="AK9">
        <v>32</v>
      </c>
      <c r="AM9">
        <v>94</v>
      </c>
      <c r="AN9" t="s">
        <v>70</v>
      </c>
      <c r="AO9">
        <v>2</v>
      </c>
      <c r="AP9">
        <v>1</v>
      </c>
      <c r="AQ9" t="s">
        <v>229</v>
      </c>
      <c r="AR9" t="s">
        <v>286</v>
      </c>
      <c r="AS9" t="s">
        <v>70</v>
      </c>
      <c r="AT9" t="s">
        <v>287</v>
      </c>
      <c r="AU9" t="s">
        <v>126</v>
      </c>
      <c r="AV9" t="s">
        <v>147</v>
      </c>
      <c r="AX9" t="str">
        <f t="shared" si="1"/>
        <v>Aundh</v>
      </c>
    </row>
    <row r="10" spans="1:50" x14ac:dyDescent="0.25">
      <c r="A10" t="s">
        <v>323</v>
      </c>
      <c r="B10" t="s">
        <v>1355</v>
      </c>
      <c r="C10" t="s">
        <v>324</v>
      </c>
      <c r="D10" t="s">
        <v>130</v>
      </c>
      <c r="E10" t="s">
        <v>325</v>
      </c>
      <c r="F10" t="s">
        <v>326</v>
      </c>
      <c r="G10" t="s">
        <v>327</v>
      </c>
      <c r="H10" t="s">
        <v>135</v>
      </c>
      <c r="I10">
        <v>71</v>
      </c>
      <c r="J10" t="s">
        <v>328</v>
      </c>
      <c r="K10" t="s">
        <v>294</v>
      </c>
      <c r="L10">
        <v>12</v>
      </c>
      <c r="M10" t="s">
        <v>89</v>
      </c>
      <c r="N10" t="s">
        <v>329</v>
      </c>
      <c r="O10" t="s">
        <v>330</v>
      </c>
      <c r="P10" t="s">
        <v>331</v>
      </c>
      <c r="Q10" t="s">
        <v>64</v>
      </c>
      <c r="R10" t="s">
        <v>65</v>
      </c>
      <c r="S10" t="s">
        <v>117</v>
      </c>
      <c r="T10" t="s">
        <v>142</v>
      </c>
      <c r="U10" t="s">
        <v>157</v>
      </c>
      <c r="V10" t="s">
        <v>332</v>
      </c>
      <c r="W10">
        <v>29689</v>
      </c>
      <c r="X10">
        <v>28607</v>
      </c>
      <c r="Y10">
        <v>1082</v>
      </c>
      <c r="Z10">
        <v>1301</v>
      </c>
      <c r="AA10" t="s">
        <v>98</v>
      </c>
      <c r="AB10" s="4">
        <f t="shared" ca="1" si="0"/>
        <v>45903</v>
      </c>
      <c r="AC10" t="s">
        <v>71</v>
      </c>
      <c r="AD10" t="s">
        <v>72</v>
      </c>
      <c r="AE10">
        <v>4</v>
      </c>
      <c r="AF10">
        <v>54</v>
      </c>
      <c r="AG10">
        <v>74</v>
      </c>
      <c r="AH10" t="s">
        <v>234</v>
      </c>
      <c r="AI10">
        <v>90</v>
      </c>
      <c r="AJ10">
        <v>56</v>
      </c>
      <c r="AK10">
        <v>53</v>
      </c>
      <c r="AL10" t="s">
        <v>97</v>
      </c>
      <c r="AM10">
        <v>94</v>
      </c>
      <c r="AN10" t="s">
        <v>98</v>
      </c>
      <c r="AO10">
        <v>2</v>
      </c>
      <c r="AP10">
        <v>5</v>
      </c>
      <c r="AQ10" t="s">
        <v>333</v>
      </c>
      <c r="AR10" t="s">
        <v>190</v>
      </c>
      <c r="AS10" t="s">
        <v>70</v>
      </c>
      <c r="AT10" t="s">
        <v>101</v>
      </c>
      <c r="AU10" t="s">
        <v>77</v>
      </c>
      <c r="AV10" t="s">
        <v>78</v>
      </c>
      <c r="AW10" t="s">
        <v>276</v>
      </c>
      <c r="AX10" t="str">
        <f t="shared" si="1"/>
        <v>Aundh</v>
      </c>
    </row>
    <row r="11" spans="1:50" x14ac:dyDescent="0.25">
      <c r="A11" t="s">
        <v>343</v>
      </c>
      <c r="B11" t="s">
        <v>344</v>
      </c>
      <c r="C11" t="s">
        <v>345</v>
      </c>
      <c r="D11" t="s">
        <v>130</v>
      </c>
      <c r="E11" t="s">
        <v>346</v>
      </c>
      <c r="F11" t="s">
        <v>347</v>
      </c>
      <c r="G11" t="s">
        <v>348</v>
      </c>
      <c r="H11" t="s">
        <v>135</v>
      </c>
      <c r="I11">
        <v>67</v>
      </c>
      <c r="J11" t="s">
        <v>349</v>
      </c>
      <c r="K11" t="s">
        <v>242</v>
      </c>
      <c r="L11">
        <v>3</v>
      </c>
      <c r="M11" t="s">
        <v>89</v>
      </c>
      <c r="N11" t="s">
        <v>262</v>
      </c>
      <c r="O11" t="s">
        <v>350</v>
      </c>
      <c r="P11" t="s">
        <v>139</v>
      </c>
      <c r="Q11" t="s">
        <v>204</v>
      </c>
      <c r="R11" t="s">
        <v>65</v>
      </c>
      <c r="S11" t="s">
        <v>219</v>
      </c>
      <c r="T11" t="s">
        <v>142</v>
      </c>
      <c r="U11" t="s">
        <v>170</v>
      </c>
      <c r="V11" t="s">
        <v>248</v>
      </c>
      <c r="W11">
        <v>15521</v>
      </c>
      <c r="X11">
        <v>15338</v>
      </c>
      <c r="Y11">
        <v>183</v>
      </c>
      <c r="Z11">
        <v>1968</v>
      </c>
      <c r="AA11" t="s">
        <v>70</v>
      </c>
      <c r="AB11" s="4">
        <f t="shared" ca="1" si="0"/>
        <v>45948</v>
      </c>
      <c r="AC11" t="s">
        <v>71</v>
      </c>
      <c r="AD11" t="s">
        <v>95</v>
      </c>
      <c r="AE11">
        <v>5</v>
      </c>
      <c r="AF11">
        <v>81</v>
      </c>
      <c r="AG11">
        <v>87</v>
      </c>
      <c r="AH11" t="s">
        <v>73</v>
      </c>
      <c r="AI11">
        <v>77</v>
      </c>
      <c r="AJ11">
        <v>56</v>
      </c>
      <c r="AK11">
        <v>53</v>
      </c>
      <c r="AL11" t="s">
        <v>122</v>
      </c>
      <c r="AM11">
        <v>94</v>
      </c>
      <c r="AN11" t="s">
        <v>98</v>
      </c>
      <c r="AO11">
        <v>2</v>
      </c>
      <c r="AP11">
        <v>4</v>
      </c>
      <c r="AQ11" t="s">
        <v>351</v>
      </c>
      <c r="AR11" t="s">
        <v>352</v>
      </c>
      <c r="AS11" t="s">
        <v>70</v>
      </c>
      <c r="AT11" t="s">
        <v>125</v>
      </c>
      <c r="AU11" t="s">
        <v>77</v>
      </c>
      <c r="AV11" t="s">
        <v>78</v>
      </c>
      <c r="AW11" t="s">
        <v>102</v>
      </c>
      <c r="AX11" t="str">
        <f t="shared" si="1"/>
        <v>Aundh</v>
      </c>
    </row>
    <row r="12" spans="1:50" x14ac:dyDescent="0.25">
      <c r="A12" t="s">
        <v>591</v>
      </c>
      <c r="B12" t="s">
        <v>1357</v>
      </c>
      <c r="C12" t="s">
        <v>592</v>
      </c>
      <c r="D12" t="s">
        <v>130</v>
      </c>
      <c r="E12" t="s">
        <v>593</v>
      </c>
      <c r="F12" t="s">
        <v>594</v>
      </c>
      <c r="G12" t="s">
        <v>434</v>
      </c>
      <c r="H12" t="s">
        <v>1391</v>
      </c>
      <c r="I12">
        <v>76</v>
      </c>
      <c r="J12" t="s">
        <v>595</v>
      </c>
      <c r="K12" t="s">
        <v>242</v>
      </c>
      <c r="L12">
        <v>6</v>
      </c>
      <c r="M12" t="s">
        <v>89</v>
      </c>
      <c r="N12" t="s">
        <v>475</v>
      </c>
      <c r="O12" t="s">
        <v>596</v>
      </c>
      <c r="P12" t="s">
        <v>188</v>
      </c>
      <c r="Q12" t="s">
        <v>64</v>
      </c>
      <c r="R12" t="s">
        <v>140</v>
      </c>
      <c r="S12" t="s">
        <v>141</v>
      </c>
      <c r="T12" t="s">
        <v>118</v>
      </c>
      <c r="U12" t="s">
        <v>597</v>
      </c>
      <c r="V12" t="s">
        <v>426</v>
      </c>
      <c r="W12">
        <v>47666</v>
      </c>
      <c r="X12">
        <v>47504</v>
      </c>
      <c r="Y12">
        <v>162</v>
      </c>
      <c r="Z12">
        <v>365</v>
      </c>
      <c r="AA12" t="s">
        <v>98</v>
      </c>
      <c r="AB12" s="4">
        <f t="shared" ca="1" si="0"/>
        <v>45925</v>
      </c>
      <c r="AC12" t="s">
        <v>71</v>
      </c>
      <c r="AD12" t="s">
        <v>95</v>
      </c>
      <c r="AE12">
        <v>6</v>
      </c>
      <c r="AF12">
        <v>73</v>
      </c>
      <c r="AG12">
        <v>82</v>
      </c>
      <c r="AH12" t="s">
        <v>96</v>
      </c>
      <c r="AI12">
        <v>75</v>
      </c>
      <c r="AJ12">
        <v>25</v>
      </c>
      <c r="AK12">
        <v>23</v>
      </c>
      <c r="AL12" t="s">
        <v>97</v>
      </c>
      <c r="AM12">
        <v>92</v>
      </c>
      <c r="AN12" t="s">
        <v>98</v>
      </c>
      <c r="AO12">
        <v>4</v>
      </c>
      <c r="AP12">
        <v>3</v>
      </c>
      <c r="AQ12" t="s">
        <v>206</v>
      </c>
      <c r="AR12" t="s">
        <v>598</v>
      </c>
      <c r="AS12" t="s">
        <v>70</v>
      </c>
      <c r="AT12" t="s">
        <v>287</v>
      </c>
      <c r="AU12" t="s">
        <v>77</v>
      </c>
      <c r="AV12" t="s">
        <v>78</v>
      </c>
      <c r="AW12" t="s">
        <v>276</v>
      </c>
      <c r="AX12" t="str">
        <f t="shared" si="1"/>
        <v>Aundh</v>
      </c>
    </row>
    <row r="13" spans="1:50" x14ac:dyDescent="0.25">
      <c r="A13" t="s">
        <v>430</v>
      </c>
      <c r="B13" t="s">
        <v>1358</v>
      </c>
      <c r="C13" t="s">
        <v>431</v>
      </c>
      <c r="D13" t="s">
        <v>52</v>
      </c>
      <c r="E13" t="s">
        <v>432</v>
      </c>
      <c r="F13" t="s">
        <v>433</v>
      </c>
      <c r="G13" t="s">
        <v>434</v>
      </c>
      <c r="H13" t="s">
        <v>135</v>
      </c>
      <c r="I13">
        <v>84</v>
      </c>
      <c r="J13" t="s">
        <v>435</v>
      </c>
      <c r="K13" t="s">
        <v>242</v>
      </c>
      <c r="L13">
        <v>12</v>
      </c>
      <c r="M13" t="s">
        <v>89</v>
      </c>
      <c r="N13" t="s">
        <v>436</v>
      </c>
      <c r="O13" t="s">
        <v>437</v>
      </c>
      <c r="P13" t="s">
        <v>92</v>
      </c>
      <c r="Q13" t="s">
        <v>64</v>
      </c>
      <c r="R13" t="s">
        <v>140</v>
      </c>
      <c r="S13" t="s">
        <v>141</v>
      </c>
      <c r="T13" t="s">
        <v>118</v>
      </c>
      <c r="U13" t="s">
        <v>438</v>
      </c>
      <c r="V13" t="s">
        <v>439</v>
      </c>
      <c r="W13">
        <v>31688</v>
      </c>
      <c r="X13">
        <v>31188</v>
      </c>
      <c r="Y13">
        <v>500</v>
      </c>
      <c r="Z13">
        <v>1442</v>
      </c>
      <c r="AA13" t="s">
        <v>70</v>
      </c>
      <c r="AB13" s="4">
        <f t="shared" ca="1" si="0"/>
        <v>45895</v>
      </c>
      <c r="AC13" t="s">
        <v>71</v>
      </c>
      <c r="AD13" t="s">
        <v>121</v>
      </c>
      <c r="AE13">
        <v>10</v>
      </c>
      <c r="AF13">
        <v>71</v>
      </c>
      <c r="AG13">
        <v>91</v>
      </c>
      <c r="AH13" t="s">
        <v>96</v>
      </c>
      <c r="AI13">
        <v>80</v>
      </c>
      <c r="AJ13">
        <v>24</v>
      </c>
      <c r="AK13">
        <v>22</v>
      </c>
      <c r="AM13">
        <v>91</v>
      </c>
      <c r="AN13" t="s">
        <v>70</v>
      </c>
      <c r="AO13">
        <v>3</v>
      </c>
      <c r="AP13">
        <v>3</v>
      </c>
      <c r="AQ13" t="s">
        <v>174</v>
      </c>
      <c r="AR13" t="s">
        <v>440</v>
      </c>
      <c r="AS13" t="s">
        <v>98</v>
      </c>
      <c r="AT13" t="s">
        <v>101</v>
      </c>
      <c r="AU13" t="s">
        <v>77</v>
      </c>
      <c r="AV13" t="s">
        <v>78</v>
      </c>
      <c r="AW13" t="s">
        <v>276</v>
      </c>
      <c r="AX13" t="str">
        <f t="shared" si="1"/>
        <v>Aundh</v>
      </c>
    </row>
    <row r="14" spans="1:50" x14ac:dyDescent="0.25">
      <c r="A14" t="s">
        <v>561</v>
      </c>
      <c r="B14" t="s">
        <v>1359</v>
      </c>
      <c r="C14" t="s">
        <v>562</v>
      </c>
      <c r="D14" t="s">
        <v>130</v>
      </c>
      <c r="E14" t="s">
        <v>563</v>
      </c>
      <c r="F14" t="s">
        <v>564</v>
      </c>
      <c r="G14" t="s">
        <v>184</v>
      </c>
      <c r="H14" t="s">
        <v>1390</v>
      </c>
      <c r="I14">
        <v>93</v>
      </c>
      <c r="J14" t="s">
        <v>565</v>
      </c>
      <c r="K14" t="s">
        <v>59</v>
      </c>
      <c r="L14">
        <v>3</v>
      </c>
      <c r="M14" t="s">
        <v>89</v>
      </c>
      <c r="N14" t="s">
        <v>382</v>
      </c>
      <c r="O14" t="s">
        <v>407</v>
      </c>
      <c r="P14" t="s">
        <v>550</v>
      </c>
      <c r="Q14" t="s">
        <v>64</v>
      </c>
      <c r="R14" t="s">
        <v>140</v>
      </c>
      <c r="S14" t="s">
        <v>141</v>
      </c>
      <c r="T14" t="s">
        <v>205</v>
      </c>
      <c r="U14" t="s">
        <v>467</v>
      </c>
      <c r="V14" t="s">
        <v>467</v>
      </c>
      <c r="W14">
        <v>33476</v>
      </c>
      <c r="X14">
        <v>32565</v>
      </c>
      <c r="Y14">
        <v>911</v>
      </c>
      <c r="Z14">
        <v>922</v>
      </c>
      <c r="AA14" t="s">
        <v>98</v>
      </c>
      <c r="AB14" s="4">
        <f t="shared" ca="1" si="0"/>
        <v>45963</v>
      </c>
      <c r="AC14" t="s">
        <v>71</v>
      </c>
      <c r="AD14" t="s">
        <v>95</v>
      </c>
      <c r="AE14">
        <v>8</v>
      </c>
      <c r="AF14">
        <v>50</v>
      </c>
      <c r="AG14">
        <v>75</v>
      </c>
      <c r="AH14" t="s">
        <v>96</v>
      </c>
      <c r="AI14">
        <v>94</v>
      </c>
      <c r="AJ14">
        <v>37</v>
      </c>
      <c r="AK14">
        <v>34</v>
      </c>
      <c r="AL14" t="s">
        <v>122</v>
      </c>
      <c r="AM14">
        <v>100</v>
      </c>
      <c r="AN14" t="s">
        <v>98</v>
      </c>
      <c r="AO14">
        <v>1</v>
      </c>
      <c r="AP14">
        <v>4</v>
      </c>
      <c r="AQ14" t="s">
        <v>566</v>
      </c>
      <c r="AR14" t="s">
        <v>567</v>
      </c>
      <c r="AS14" t="s">
        <v>98</v>
      </c>
      <c r="AT14" t="s">
        <v>125</v>
      </c>
      <c r="AU14" t="s">
        <v>160</v>
      </c>
      <c r="AV14" t="s">
        <v>78</v>
      </c>
      <c r="AW14" t="s">
        <v>79</v>
      </c>
      <c r="AX14" t="str">
        <f t="shared" si="1"/>
        <v>Aundh</v>
      </c>
    </row>
    <row r="15" spans="1:50" x14ac:dyDescent="0.25">
      <c r="A15" t="s">
        <v>458</v>
      </c>
      <c r="B15" t="s">
        <v>278</v>
      </c>
      <c r="C15" t="s">
        <v>459</v>
      </c>
      <c r="D15" t="s">
        <v>130</v>
      </c>
      <c r="E15" t="s">
        <v>461</v>
      </c>
      <c r="F15" t="s">
        <v>462</v>
      </c>
      <c r="G15" t="s">
        <v>463</v>
      </c>
      <c r="H15" t="s">
        <v>1389</v>
      </c>
      <c r="I15">
        <v>75</v>
      </c>
      <c r="J15" t="s">
        <v>464</v>
      </c>
      <c r="K15" t="s">
        <v>59</v>
      </c>
      <c r="L15">
        <v>12</v>
      </c>
      <c r="M15" t="s">
        <v>60</v>
      </c>
      <c r="N15" t="s">
        <v>246</v>
      </c>
      <c r="O15" t="s">
        <v>465</v>
      </c>
      <c r="P15" t="s">
        <v>396</v>
      </c>
      <c r="Q15" t="s">
        <v>64</v>
      </c>
      <c r="R15" t="s">
        <v>65</v>
      </c>
      <c r="S15" t="s">
        <v>219</v>
      </c>
      <c r="T15" t="s">
        <v>67</v>
      </c>
      <c r="U15" t="s">
        <v>449</v>
      </c>
      <c r="V15" t="s">
        <v>466</v>
      </c>
      <c r="W15">
        <v>42334</v>
      </c>
      <c r="X15">
        <v>40547</v>
      </c>
      <c r="Y15">
        <v>1787</v>
      </c>
      <c r="Z15">
        <v>4132</v>
      </c>
      <c r="AA15" t="s">
        <v>98</v>
      </c>
      <c r="AB15" s="4">
        <f t="shared" ca="1" si="0"/>
        <v>46022</v>
      </c>
      <c r="AC15" t="s">
        <v>71</v>
      </c>
      <c r="AD15" t="s">
        <v>95</v>
      </c>
      <c r="AE15">
        <v>7</v>
      </c>
      <c r="AF15">
        <v>53</v>
      </c>
      <c r="AG15">
        <v>85</v>
      </c>
      <c r="AH15" t="s">
        <v>73</v>
      </c>
      <c r="AI15">
        <v>98</v>
      </c>
      <c r="AJ15">
        <v>20</v>
      </c>
      <c r="AK15">
        <v>18</v>
      </c>
      <c r="AM15">
        <v>90</v>
      </c>
      <c r="AN15" t="s">
        <v>70</v>
      </c>
      <c r="AO15">
        <v>3</v>
      </c>
      <c r="AP15">
        <v>5</v>
      </c>
      <c r="AQ15" t="s">
        <v>468</v>
      </c>
      <c r="AR15" t="s">
        <v>341</v>
      </c>
      <c r="AS15" t="s">
        <v>98</v>
      </c>
      <c r="AT15" t="s">
        <v>287</v>
      </c>
      <c r="AU15" t="s">
        <v>126</v>
      </c>
      <c r="AV15" t="s">
        <v>78</v>
      </c>
      <c r="AW15" t="s">
        <v>79</v>
      </c>
      <c r="AX15" t="str">
        <f t="shared" si="1"/>
        <v>Aundh</v>
      </c>
    </row>
    <row r="16" spans="1:50" x14ac:dyDescent="0.25">
      <c r="A16" t="s">
        <v>161</v>
      </c>
      <c r="B16" t="s">
        <v>162</v>
      </c>
      <c r="C16" t="s">
        <v>163</v>
      </c>
      <c r="D16" t="s">
        <v>130</v>
      </c>
      <c r="E16" t="s">
        <v>165</v>
      </c>
      <c r="F16" t="s">
        <v>166</v>
      </c>
      <c r="G16" t="s">
        <v>167</v>
      </c>
      <c r="H16" t="s">
        <v>1390</v>
      </c>
      <c r="I16">
        <v>89</v>
      </c>
      <c r="J16" t="s">
        <v>168</v>
      </c>
      <c r="K16" t="s">
        <v>169</v>
      </c>
      <c r="L16">
        <v>3</v>
      </c>
      <c r="M16" t="s">
        <v>89</v>
      </c>
      <c r="N16" t="s">
        <v>170</v>
      </c>
      <c r="O16" t="s">
        <v>171</v>
      </c>
      <c r="P16" t="s">
        <v>172</v>
      </c>
      <c r="Q16" t="s">
        <v>116</v>
      </c>
      <c r="R16" t="s">
        <v>140</v>
      </c>
      <c r="S16" t="s">
        <v>117</v>
      </c>
      <c r="T16" t="s">
        <v>67</v>
      </c>
      <c r="U16" t="s">
        <v>157</v>
      </c>
      <c r="V16" t="s">
        <v>173</v>
      </c>
      <c r="W16">
        <v>40557</v>
      </c>
      <c r="X16">
        <v>40142</v>
      </c>
      <c r="Y16">
        <v>415</v>
      </c>
      <c r="Z16">
        <v>1522</v>
      </c>
      <c r="AA16" t="s">
        <v>98</v>
      </c>
      <c r="AB16" s="4">
        <f t="shared" ca="1" si="0"/>
        <v>45999</v>
      </c>
      <c r="AC16" t="s">
        <v>71</v>
      </c>
      <c r="AD16" t="s">
        <v>121</v>
      </c>
      <c r="AE16">
        <v>4</v>
      </c>
      <c r="AF16">
        <v>69</v>
      </c>
      <c r="AG16">
        <v>93</v>
      </c>
      <c r="AH16" t="s">
        <v>96</v>
      </c>
      <c r="AI16">
        <v>61</v>
      </c>
      <c r="AJ16">
        <v>52</v>
      </c>
      <c r="AK16">
        <v>46</v>
      </c>
      <c r="AL16" t="s">
        <v>97</v>
      </c>
      <c r="AM16">
        <v>88</v>
      </c>
      <c r="AN16" t="s">
        <v>70</v>
      </c>
      <c r="AO16">
        <v>2</v>
      </c>
      <c r="AP16">
        <v>2</v>
      </c>
      <c r="AQ16" t="s">
        <v>175</v>
      </c>
      <c r="AR16" t="s">
        <v>176</v>
      </c>
      <c r="AS16" t="s">
        <v>98</v>
      </c>
      <c r="AT16" t="s">
        <v>177</v>
      </c>
      <c r="AU16" t="s">
        <v>160</v>
      </c>
      <c r="AV16" t="s">
        <v>147</v>
      </c>
      <c r="AX16" t="str">
        <f t="shared" si="1"/>
        <v>Aundh</v>
      </c>
    </row>
    <row r="17" spans="1:50" x14ac:dyDescent="0.25">
      <c r="A17" t="s">
        <v>478</v>
      </c>
      <c r="B17" t="s">
        <v>131</v>
      </c>
      <c r="C17" t="s">
        <v>479</v>
      </c>
      <c r="D17" t="s">
        <v>130</v>
      </c>
      <c r="E17" t="s">
        <v>480</v>
      </c>
      <c r="F17" t="s">
        <v>481</v>
      </c>
      <c r="G17" t="s">
        <v>482</v>
      </c>
      <c r="H17" t="s">
        <v>135</v>
      </c>
      <c r="I17">
        <v>93</v>
      </c>
      <c r="J17" t="s">
        <v>483</v>
      </c>
      <c r="K17" t="s">
        <v>169</v>
      </c>
      <c r="L17">
        <v>3</v>
      </c>
      <c r="M17" t="s">
        <v>89</v>
      </c>
      <c r="N17" t="s">
        <v>484</v>
      </c>
      <c r="O17" t="s">
        <v>440</v>
      </c>
      <c r="P17" t="s">
        <v>259</v>
      </c>
      <c r="Q17" t="s">
        <v>204</v>
      </c>
      <c r="R17" t="s">
        <v>140</v>
      </c>
      <c r="S17" t="s">
        <v>117</v>
      </c>
      <c r="T17" t="s">
        <v>118</v>
      </c>
      <c r="U17" t="s">
        <v>360</v>
      </c>
      <c r="V17" t="s">
        <v>438</v>
      </c>
      <c r="W17">
        <v>21123</v>
      </c>
      <c r="X17">
        <v>20086</v>
      </c>
      <c r="Y17">
        <v>1037</v>
      </c>
      <c r="Z17">
        <v>2663</v>
      </c>
      <c r="AA17" t="s">
        <v>70</v>
      </c>
      <c r="AB17" s="4">
        <f t="shared" ca="1" si="0"/>
        <v>45841</v>
      </c>
      <c r="AC17" t="s">
        <v>71</v>
      </c>
      <c r="AD17" t="s">
        <v>191</v>
      </c>
      <c r="AE17">
        <v>2</v>
      </c>
      <c r="AF17">
        <v>40</v>
      </c>
      <c r="AG17">
        <v>68</v>
      </c>
      <c r="AH17" t="s">
        <v>96</v>
      </c>
      <c r="AI17">
        <v>97</v>
      </c>
      <c r="AJ17">
        <v>48</v>
      </c>
      <c r="AK17">
        <v>42</v>
      </c>
      <c r="AL17" t="s">
        <v>122</v>
      </c>
      <c r="AM17">
        <v>87</v>
      </c>
      <c r="AN17" t="s">
        <v>70</v>
      </c>
      <c r="AO17">
        <v>5</v>
      </c>
      <c r="AP17">
        <v>1</v>
      </c>
      <c r="AQ17" t="s">
        <v>174</v>
      </c>
      <c r="AR17" t="s">
        <v>340</v>
      </c>
      <c r="AS17" t="s">
        <v>70</v>
      </c>
      <c r="AT17" t="s">
        <v>101</v>
      </c>
      <c r="AU17" t="s">
        <v>126</v>
      </c>
      <c r="AV17" t="s">
        <v>78</v>
      </c>
      <c r="AW17" t="s">
        <v>102</v>
      </c>
      <c r="AX17" t="str">
        <f t="shared" si="1"/>
        <v>Aundh</v>
      </c>
    </row>
    <row r="18" spans="1:50" x14ac:dyDescent="0.25">
      <c r="A18" t="s">
        <v>388</v>
      </c>
      <c r="B18" t="s">
        <v>389</v>
      </c>
      <c r="C18" t="s">
        <v>390</v>
      </c>
      <c r="D18" t="s">
        <v>130</v>
      </c>
      <c r="E18" t="s">
        <v>391</v>
      </c>
      <c r="F18" t="s">
        <v>392</v>
      </c>
      <c r="G18" t="s">
        <v>393</v>
      </c>
      <c r="H18" t="s">
        <v>135</v>
      </c>
      <c r="I18">
        <v>67</v>
      </c>
      <c r="J18" t="s">
        <v>394</v>
      </c>
      <c r="K18" t="s">
        <v>169</v>
      </c>
      <c r="L18">
        <v>3</v>
      </c>
      <c r="M18" t="s">
        <v>89</v>
      </c>
      <c r="N18" t="s">
        <v>395</v>
      </c>
      <c r="O18" t="s">
        <v>120</v>
      </c>
      <c r="P18" t="s">
        <v>396</v>
      </c>
      <c r="Q18" t="s">
        <v>64</v>
      </c>
      <c r="R18" t="s">
        <v>65</v>
      </c>
      <c r="S18" t="s">
        <v>66</v>
      </c>
      <c r="T18" t="s">
        <v>67</v>
      </c>
      <c r="U18" t="s">
        <v>373</v>
      </c>
      <c r="V18" t="s">
        <v>397</v>
      </c>
      <c r="W18">
        <v>36359</v>
      </c>
      <c r="X18">
        <v>34507</v>
      </c>
      <c r="Y18">
        <v>1852</v>
      </c>
      <c r="Z18">
        <v>2266</v>
      </c>
      <c r="AA18" t="s">
        <v>98</v>
      </c>
      <c r="AB18" s="4">
        <f t="shared" ca="1" si="0"/>
        <v>45879</v>
      </c>
      <c r="AC18" t="s">
        <v>71</v>
      </c>
      <c r="AD18" t="s">
        <v>95</v>
      </c>
      <c r="AE18">
        <v>4</v>
      </c>
      <c r="AF18">
        <v>48</v>
      </c>
      <c r="AG18">
        <v>54</v>
      </c>
      <c r="AH18" t="s">
        <v>73</v>
      </c>
      <c r="AI18">
        <v>72</v>
      </c>
      <c r="AJ18">
        <v>23</v>
      </c>
      <c r="AK18">
        <v>20</v>
      </c>
      <c r="AL18" t="s">
        <v>122</v>
      </c>
      <c r="AM18">
        <v>86</v>
      </c>
      <c r="AN18" t="s">
        <v>70</v>
      </c>
      <c r="AO18">
        <v>1</v>
      </c>
      <c r="AP18">
        <v>4</v>
      </c>
      <c r="AQ18" t="s">
        <v>398</v>
      </c>
      <c r="AR18" t="s">
        <v>399</v>
      </c>
      <c r="AS18" t="s">
        <v>98</v>
      </c>
      <c r="AT18" t="s">
        <v>101</v>
      </c>
      <c r="AU18" t="s">
        <v>126</v>
      </c>
      <c r="AV18" t="s">
        <v>78</v>
      </c>
      <c r="AW18" t="s">
        <v>79</v>
      </c>
      <c r="AX18" t="str">
        <f t="shared" si="1"/>
        <v>Aundh</v>
      </c>
    </row>
    <row r="19" spans="1:50" x14ac:dyDescent="0.25">
      <c r="A19" t="s">
        <v>334</v>
      </c>
      <c r="B19" t="s">
        <v>181</v>
      </c>
      <c r="C19" t="s">
        <v>335</v>
      </c>
      <c r="D19" t="s">
        <v>130</v>
      </c>
      <c r="E19" t="s">
        <v>336</v>
      </c>
      <c r="F19" t="s">
        <v>337</v>
      </c>
      <c r="G19" t="s">
        <v>338</v>
      </c>
      <c r="H19" t="s">
        <v>1389</v>
      </c>
      <c r="I19">
        <v>70</v>
      </c>
      <c r="J19" t="s">
        <v>339</v>
      </c>
      <c r="K19" t="s">
        <v>169</v>
      </c>
      <c r="L19">
        <v>12</v>
      </c>
      <c r="M19" t="s">
        <v>60</v>
      </c>
      <c r="N19" t="s">
        <v>137</v>
      </c>
      <c r="O19" t="s">
        <v>138</v>
      </c>
      <c r="P19" t="s">
        <v>297</v>
      </c>
      <c r="Q19" t="s">
        <v>116</v>
      </c>
      <c r="R19" t="s">
        <v>140</v>
      </c>
      <c r="S19" t="s">
        <v>66</v>
      </c>
      <c r="T19" t="s">
        <v>205</v>
      </c>
      <c r="U19" t="s">
        <v>340</v>
      </c>
      <c r="V19" t="s">
        <v>341</v>
      </c>
      <c r="W19">
        <v>17919</v>
      </c>
      <c r="X19">
        <v>17530</v>
      </c>
      <c r="Y19">
        <v>389</v>
      </c>
      <c r="Z19">
        <v>511</v>
      </c>
      <c r="AA19" t="s">
        <v>98</v>
      </c>
      <c r="AB19" s="4">
        <f t="shared" ca="1" si="0"/>
        <v>45994</v>
      </c>
      <c r="AC19" t="s">
        <v>71</v>
      </c>
      <c r="AD19" t="s">
        <v>95</v>
      </c>
      <c r="AE19">
        <v>8</v>
      </c>
      <c r="AF19">
        <v>53</v>
      </c>
      <c r="AG19">
        <v>86</v>
      </c>
      <c r="AH19" t="s">
        <v>96</v>
      </c>
      <c r="AI19">
        <v>82</v>
      </c>
      <c r="AJ19">
        <v>28</v>
      </c>
      <c r="AK19">
        <v>24</v>
      </c>
      <c r="AL19" t="s">
        <v>122</v>
      </c>
      <c r="AM19">
        <v>85</v>
      </c>
      <c r="AN19" t="s">
        <v>98</v>
      </c>
      <c r="AO19">
        <v>2</v>
      </c>
      <c r="AP19">
        <v>3</v>
      </c>
      <c r="AQ19" t="s">
        <v>171</v>
      </c>
      <c r="AR19" t="s">
        <v>342</v>
      </c>
      <c r="AS19" t="s">
        <v>70</v>
      </c>
      <c r="AT19" t="s">
        <v>101</v>
      </c>
      <c r="AU19" t="s">
        <v>126</v>
      </c>
      <c r="AV19" t="s">
        <v>147</v>
      </c>
      <c r="AX19" t="str">
        <f t="shared" si="1"/>
        <v>Aundh</v>
      </c>
    </row>
    <row r="20" spans="1:50" x14ac:dyDescent="0.25">
      <c r="A20" t="s">
        <v>221</v>
      </c>
      <c r="B20" t="s">
        <v>222</v>
      </c>
      <c r="C20" t="s">
        <v>223</v>
      </c>
      <c r="D20" t="s">
        <v>130</v>
      </c>
      <c r="E20" t="s">
        <v>225</v>
      </c>
      <c r="F20" t="s">
        <v>226</v>
      </c>
      <c r="G20" t="s">
        <v>227</v>
      </c>
      <c r="H20" t="s">
        <v>1391</v>
      </c>
      <c r="I20">
        <v>64</v>
      </c>
      <c r="J20" t="s">
        <v>228</v>
      </c>
      <c r="K20" t="s">
        <v>59</v>
      </c>
      <c r="L20">
        <v>3</v>
      </c>
      <c r="M20" t="s">
        <v>60</v>
      </c>
      <c r="N20" t="s">
        <v>229</v>
      </c>
      <c r="O20" t="s">
        <v>230</v>
      </c>
      <c r="P20" t="s">
        <v>231</v>
      </c>
      <c r="Q20" t="s">
        <v>204</v>
      </c>
      <c r="R20" t="s">
        <v>140</v>
      </c>
      <c r="S20" t="s">
        <v>232</v>
      </c>
      <c r="T20" t="s">
        <v>118</v>
      </c>
      <c r="U20" t="s">
        <v>99</v>
      </c>
      <c r="V20" t="s">
        <v>99</v>
      </c>
      <c r="W20">
        <v>43563</v>
      </c>
      <c r="X20">
        <v>43281</v>
      </c>
      <c r="Y20">
        <v>282</v>
      </c>
      <c r="Z20">
        <v>3482</v>
      </c>
      <c r="AA20" t="s">
        <v>98</v>
      </c>
      <c r="AB20" s="4">
        <f t="shared" ca="1" si="0"/>
        <v>45918</v>
      </c>
      <c r="AC20" t="s">
        <v>71</v>
      </c>
      <c r="AD20" t="s">
        <v>95</v>
      </c>
      <c r="AE20">
        <v>9</v>
      </c>
      <c r="AF20">
        <v>81</v>
      </c>
      <c r="AG20">
        <v>91</v>
      </c>
      <c r="AH20" t="s">
        <v>234</v>
      </c>
      <c r="AI20">
        <v>97</v>
      </c>
      <c r="AJ20">
        <v>28</v>
      </c>
      <c r="AK20">
        <v>23</v>
      </c>
      <c r="AL20" t="s">
        <v>97</v>
      </c>
      <c r="AM20">
        <v>82</v>
      </c>
      <c r="AN20" t="s">
        <v>70</v>
      </c>
      <c r="AO20">
        <v>4</v>
      </c>
      <c r="AP20">
        <v>4</v>
      </c>
      <c r="AQ20" t="s">
        <v>235</v>
      </c>
      <c r="AR20" t="s">
        <v>230</v>
      </c>
      <c r="AS20" t="s">
        <v>70</v>
      </c>
      <c r="AT20" t="s">
        <v>125</v>
      </c>
      <c r="AU20" t="s">
        <v>126</v>
      </c>
      <c r="AV20" t="s">
        <v>147</v>
      </c>
      <c r="AX20" t="str">
        <f t="shared" si="1"/>
        <v>Aundh</v>
      </c>
    </row>
    <row r="21" spans="1:50" x14ac:dyDescent="0.25">
      <c r="A21" t="s">
        <v>80</v>
      </c>
      <c r="B21" t="s">
        <v>1329</v>
      </c>
      <c r="C21" t="s">
        <v>82</v>
      </c>
      <c r="D21" t="s">
        <v>52</v>
      </c>
      <c r="E21" t="s">
        <v>84</v>
      </c>
      <c r="F21" t="s">
        <v>85</v>
      </c>
      <c r="G21" t="s">
        <v>86</v>
      </c>
      <c r="H21" t="s">
        <v>87</v>
      </c>
      <c r="I21">
        <v>73</v>
      </c>
      <c r="J21" t="s">
        <v>88</v>
      </c>
      <c r="K21" t="s">
        <v>59</v>
      </c>
      <c r="L21">
        <v>6</v>
      </c>
      <c r="M21" t="s">
        <v>89</v>
      </c>
      <c r="N21" t="s">
        <v>90</v>
      </c>
      <c r="O21" t="s">
        <v>91</v>
      </c>
      <c r="P21" t="s">
        <v>92</v>
      </c>
      <c r="Q21" t="s">
        <v>64</v>
      </c>
      <c r="R21" t="s">
        <v>65</v>
      </c>
      <c r="S21" t="s">
        <v>66</v>
      </c>
      <c r="T21" t="s">
        <v>67</v>
      </c>
      <c r="U21" t="s">
        <v>93</v>
      </c>
      <c r="V21" t="s">
        <v>94</v>
      </c>
      <c r="W21">
        <v>27267</v>
      </c>
      <c r="X21">
        <v>25250</v>
      </c>
      <c r="Y21">
        <v>2017</v>
      </c>
      <c r="Z21">
        <v>3626</v>
      </c>
      <c r="AA21" t="s">
        <v>70</v>
      </c>
      <c r="AB21" s="4">
        <f t="shared" ca="1" si="0"/>
        <v>45936</v>
      </c>
      <c r="AC21" t="s">
        <v>71</v>
      </c>
      <c r="AD21" t="s">
        <v>95</v>
      </c>
      <c r="AE21">
        <v>6</v>
      </c>
      <c r="AF21">
        <v>75</v>
      </c>
      <c r="AG21">
        <v>77</v>
      </c>
      <c r="AH21" t="s">
        <v>96</v>
      </c>
      <c r="AI21">
        <v>94</v>
      </c>
      <c r="AJ21">
        <v>21</v>
      </c>
      <c r="AK21">
        <v>17</v>
      </c>
      <c r="AL21" t="s">
        <v>97</v>
      </c>
      <c r="AM21">
        <v>80</v>
      </c>
      <c r="AN21" t="s">
        <v>98</v>
      </c>
      <c r="AO21">
        <v>3</v>
      </c>
      <c r="AP21">
        <v>4</v>
      </c>
      <c r="AQ21" t="s">
        <v>99</v>
      </c>
      <c r="AR21" t="s">
        <v>100</v>
      </c>
      <c r="AS21" t="s">
        <v>70</v>
      </c>
      <c r="AT21" t="s">
        <v>101</v>
      </c>
      <c r="AU21" t="s">
        <v>77</v>
      </c>
      <c r="AV21" t="s">
        <v>78</v>
      </c>
      <c r="AW21" t="s">
        <v>102</v>
      </c>
      <c r="AX21" t="str">
        <f t="shared" si="1"/>
        <v>Aundh</v>
      </c>
    </row>
    <row r="22" spans="1:50" x14ac:dyDescent="0.25">
      <c r="A22" t="s">
        <v>408</v>
      </c>
      <c r="B22" t="s">
        <v>409</v>
      </c>
      <c r="C22" t="s">
        <v>410</v>
      </c>
      <c r="D22" t="s">
        <v>130</v>
      </c>
      <c r="E22" t="s">
        <v>411</v>
      </c>
      <c r="F22" t="s">
        <v>412</v>
      </c>
      <c r="G22" t="s">
        <v>413</v>
      </c>
      <c r="H22" t="s">
        <v>135</v>
      </c>
      <c r="I22">
        <v>92</v>
      </c>
      <c r="J22" t="s">
        <v>414</v>
      </c>
      <c r="K22" t="s">
        <v>242</v>
      </c>
      <c r="L22">
        <v>3</v>
      </c>
      <c r="M22" t="s">
        <v>60</v>
      </c>
      <c r="N22" t="s">
        <v>321</v>
      </c>
      <c r="O22" t="s">
        <v>415</v>
      </c>
      <c r="P22" t="s">
        <v>245</v>
      </c>
      <c r="Q22" t="s">
        <v>204</v>
      </c>
      <c r="R22" t="s">
        <v>65</v>
      </c>
      <c r="S22" t="s">
        <v>219</v>
      </c>
      <c r="T22" t="s">
        <v>67</v>
      </c>
      <c r="U22" t="s">
        <v>143</v>
      </c>
      <c r="V22" t="s">
        <v>416</v>
      </c>
      <c r="W22">
        <v>38039</v>
      </c>
      <c r="X22">
        <v>34261</v>
      </c>
      <c r="Y22">
        <v>3778</v>
      </c>
      <c r="Z22">
        <v>4859</v>
      </c>
      <c r="AA22" t="s">
        <v>70</v>
      </c>
      <c r="AB22" s="4">
        <f t="shared" ca="1" si="0"/>
        <v>45992</v>
      </c>
      <c r="AC22" t="s">
        <v>71</v>
      </c>
      <c r="AD22" t="s">
        <v>121</v>
      </c>
      <c r="AE22">
        <v>8</v>
      </c>
      <c r="AF22">
        <v>49</v>
      </c>
      <c r="AG22">
        <v>68</v>
      </c>
      <c r="AH22" t="s">
        <v>234</v>
      </c>
      <c r="AI22">
        <v>84</v>
      </c>
      <c r="AJ22">
        <v>51</v>
      </c>
      <c r="AK22">
        <v>41</v>
      </c>
      <c r="AM22">
        <v>80</v>
      </c>
      <c r="AN22" t="s">
        <v>70</v>
      </c>
      <c r="AO22">
        <v>3</v>
      </c>
      <c r="AP22">
        <v>5</v>
      </c>
      <c r="AQ22" t="s">
        <v>296</v>
      </c>
      <c r="AR22" t="s">
        <v>417</v>
      </c>
      <c r="AS22" t="s">
        <v>98</v>
      </c>
      <c r="AT22" t="s">
        <v>287</v>
      </c>
      <c r="AU22" t="s">
        <v>160</v>
      </c>
      <c r="AV22" t="s">
        <v>147</v>
      </c>
      <c r="AX22" t="str">
        <f t="shared" si="1"/>
        <v>Aundh</v>
      </c>
    </row>
    <row r="23" spans="1:50" x14ac:dyDescent="0.25">
      <c r="A23" t="s">
        <v>103</v>
      </c>
      <c r="B23" t="s">
        <v>1360</v>
      </c>
      <c r="C23" t="s">
        <v>105</v>
      </c>
      <c r="D23" t="s">
        <v>130</v>
      </c>
      <c r="E23" t="s">
        <v>107</v>
      </c>
      <c r="F23" t="s">
        <v>108</v>
      </c>
      <c r="G23" t="s">
        <v>109</v>
      </c>
      <c r="H23" t="s">
        <v>87</v>
      </c>
      <c r="I23">
        <v>61</v>
      </c>
      <c r="J23" t="s">
        <v>110</v>
      </c>
      <c r="K23" t="s">
        <v>111</v>
      </c>
      <c r="L23">
        <v>6</v>
      </c>
      <c r="M23" t="s">
        <v>112</v>
      </c>
      <c r="N23" t="s">
        <v>113</v>
      </c>
      <c r="O23" t="s">
        <v>114</v>
      </c>
      <c r="P23" t="s">
        <v>115</v>
      </c>
      <c r="Q23" t="s">
        <v>116</v>
      </c>
      <c r="R23" t="s">
        <v>65</v>
      </c>
      <c r="S23" t="s">
        <v>117</v>
      </c>
      <c r="T23" t="s">
        <v>118</v>
      </c>
      <c r="U23" t="s">
        <v>119</v>
      </c>
      <c r="V23" t="s">
        <v>120</v>
      </c>
      <c r="W23">
        <v>29239</v>
      </c>
      <c r="X23">
        <v>28279</v>
      </c>
      <c r="Y23">
        <v>960</v>
      </c>
      <c r="Z23">
        <v>1156</v>
      </c>
      <c r="AA23" t="s">
        <v>70</v>
      </c>
      <c r="AB23" s="4">
        <f t="shared" ca="1" si="0"/>
        <v>45976</v>
      </c>
      <c r="AC23" t="s">
        <v>71</v>
      </c>
      <c r="AD23" t="s">
        <v>121</v>
      </c>
      <c r="AE23">
        <v>5</v>
      </c>
      <c r="AF23">
        <v>63</v>
      </c>
      <c r="AG23">
        <v>64</v>
      </c>
      <c r="AH23" t="s">
        <v>73</v>
      </c>
      <c r="AI23">
        <v>68</v>
      </c>
      <c r="AJ23">
        <v>54</v>
      </c>
      <c r="AK23">
        <v>43</v>
      </c>
      <c r="AL23" t="s">
        <v>122</v>
      </c>
      <c r="AM23">
        <v>79</v>
      </c>
      <c r="AN23" t="s">
        <v>98</v>
      </c>
      <c r="AO23">
        <v>1</v>
      </c>
      <c r="AP23">
        <v>5</v>
      </c>
      <c r="AQ23" t="s">
        <v>123</v>
      </c>
      <c r="AR23" t="s">
        <v>124</v>
      </c>
      <c r="AS23" t="s">
        <v>98</v>
      </c>
      <c r="AT23" t="s">
        <v>125</v>
      </c>
      <c r="AU23" t="s">
        <v>126</v>
      </c>
      <c r="AV23" t="s">
        <v>78</v>
      </c>
      <c r="AW23" t="s">
        <v>102</v>
      </c>
      <c r="AX23" t="str">
        <f t="shared" si="1"/>
        <v>Aundh</v>
      </c>
    </row>
    <row r="24" spans="1:50" x14ac:dyDescent="0.25">
      <c r="A24" t="s">
        <v>299</v>
      </c>
      <c r="B24" t="s">
        <v>212</v>
      </c>
      <c r="C24" t="s">
        <v>300</v>
      </c>
      <c r="D24" t="s">
        <v>130</v>
      </c>
      <c r="E24" t="s">
        <v>301</v>
      </c>
      <c r="F24" t="s">
        <v>302</v>
      </c>
      <c r="G24" t="s">
        <v>303</v>
      </c>
      <c r="H24" t="s">
        <v>135</v>
      </c>
      <c r="I24">
        <v>90</v>
      </c>
      <c r="J24" t="s">
        <v>304</v>
      </c>
      <c r="K24" t="s">
        <v>59</v>
      </c>
      <c r="L24">
        <v>3</v>
      </c>
      <c r="M24" t="s">
        <v>112</v>
      </c>
      <c r="N24" t="s">
        <v>305</v>
      </c>
      <c r="O24" t="s">
        <v>243</v>
      </c>
      <c r="P24" t="s">
        <v>245</v>
      </c>
      <c r="Q24" t="s">
        <v>64</v>
      </c>
      <c r="R24" t="s">
        <v>65</v>
      </c>
      <c r="S24" t="s">
        <v>232</v>
      </c>
      <c r="T24" t="s">
        <v>205</v>
      </c>
      <c r="U24" t="s">
        <v>306</v>
      </c>
      <c r="V24" t="s">
        <v>307</v>
      </c>
      <c r="W24">
        <v>30207</v>
      </c>
      <c r="X24">
        <v>28610</v>
      </c>
      <c r="Y24">
        <v>1597</v>
      </c>
      <c r="Z24">
        <v>1889</v>
      </c>
      <c r="AA24" t="s">
        <v>98</v>
      </c>
      <c r="AB24" s="4">
        <f t="shared" ca="1" si="0"/>
        <v>45985</v>
      </c>
      <c r="AC24" t="s">
        <v>71</v>
      </c>
      <c r="AD24" t="s">
        <v>95</v>
      </c>
      <c r="AE24">
        <v>7</v>
      </c>
      <c r="AF24">
        <v>52</v>
      </c>
      <c r="AG24">
        <v>87</v>
      </c>
      <c r="AH24" t="s">
        <v>73</v>
      </c>
      <c r="AI24">
        <v>72</v>
      </c>
      <c r="AJ24">
        <v>50</v>
      </c>
      <c r="AK24">
        <v>39</v>
      </c>
      <c r="AM24">
        <v>78</v>
      </c>
      <c r="AN24" t="s">
        <v>98</v>
      </c>
      <c r="AO24">
        <v>4</v>
      </c>
      <c r="AP24">
        <v>3</v>
      </c>
      <c r="AQ24" t="s">
        <v>309</v>
      </c>
      <c r="AR24" t="s">
        <v>310</v>
      </c>
      <c r="AS24" t="s">
        <v>98</v>
      </c>
      <c r="AT24" t="s">
        <v>125</v>
      </c>
      <c r="AU24" t="s">
        <v>77</v>
      </c>
      <c r="AV24" t="s">
        <v>78</v>
      </c>
      <c r="AW24" t="s">
        <v>79</v>
      </c>
      <c r="AX24" t="str">
        <f t="shared" si="1"/>
        <v>Aundh</v>
      </c>
    </row>
    <row r="25" spans="1:50" x14ac:dyDescent="0.25">
      <c r="A25" t="s">
        <v>518</v>
      </c>
      <c r="B25" t="s">
        <v>1361</v>
      </c>
      <c r="C25" t="s">
        <v>519</v>
      </c>
      <c r="D25" t="s">
        <v>130</v>
      </c>
      <c r="E25" t="s">
        <v>520</v>
      </c>
      <c r="F25" t="s">
        <v>521</v>
      </c>
      <c r="G25" t="s">
        <v>522</v>
      </c>
      <c r="H25" t="s">
        <v>135</v>
      </c>
      <c r="I25">
        <v>79</v>
      </c>
      <c r="J25" t="s">
        <v>523</v>
      </c>
      <c r="K25" t="s">
        <v>294</v>
      </c>
      <c r="L25">
        <v>12</v>
      </c>
      <c r="M25" t="s">
        <v>60</v>
      </c>
      <c r="N25" t="s">
        <v>113</v>
      </c>
      <c r="O25" t="s">
        <v>448</v>
      </c>
      <c r="P25" t="s">
        <v>524</v>
      </c>
      <c r="Q25" t="s">
        <v>116</v>
      </c>
      <c r="R25" t="s">
        <v>140</v>
      </c>
      <c r="S25" t="s">
        <v>66</v>
      </c>
      <c r="T25" t="s">
        <v>118</v>
      </c>
      <c r="U25" t="s">
        <v>190</v>
      </c>
      <c r="V25" t="s">
        <v>397</v>
      </c>
      <c r="W25">
        <v>45733</v>
      </c>
      <c r="X25">
        <v>41468</v>
      </c>
      <c r="Y25">
        <v>4265</v>
      </c>
      <c r="Z25">
        <v>4465</v>
      </c>
      <c r="AA25" t="s">
        <v>98</v>
      </c>
      <c r="AB25" s="4">
        <f t="shared" ca="1" si="0"/>
        <v>45988</v>
      </c>
      <c r="AC25" t="s">
        <v>71</v>
      </c>
      <c r="AD25" t="s">
        <v>95</v>
      </c>
      <c r="AE25">
        <v>5</v>
      </c>
      <c r="AF25">
        <v>51</v>
      </c>
      <c r="AG25">
        <v>58</v>
      </c>
      <c r="AH25" t="s">
        <v>73</v>
      </c>
      <c r="AI25">
        <v>65</v>
      </c>
      <c r="AJ25">
        <v>56</v>
      </c>
      <c r="AK25">
        <v>44</v>
      </c>
      <c r="AM25">
        <v>78</v>
      </c>
      <c r="AN25" t="s">
        <v>70</v>
      </c>
      <c r="AO25">
        <v>1</v>
      </c>
      <c r="AP25">
        <v>3</v>
      </c>
      <c r="AQ25" t="s">
        <v>91</v>
      </c>
      <c r="AR25" t="s">
        <v>525</v>
      </c>
      <c r="AS25" t="s">
        <v>70</v>
      </c>
      <c r="AT25" t="s">
        <v>125</v>
      </c>
      <c r="AU25" t="s">
        <v>126</v>
      </c>
      <c r="AV25" t="s">
        <v>147</v>
      </c>
      <c r="AX25" t="str">
        <f t="shared" si="1"/>
        <v>Aundh</v>
      </c>
    </row>
    <row r="26" spans="1:50" x14ac:dyDescent="0.25">
      <c r="A26" t="s">
        <v>193</v>
      </c>
      <c r="B26" t="s">
        <v>194</v>
      </c>
      <c r="C26" t="s">
        <v>195</v>
      </c>
      <c r="D26" t="s">
        <v>52</v>
      </c>
      <c r="E26" t="s">
        <v>197</v>
      </c>
      <c r="F26" t="s">
        <v>198</v>
      </c>
      <c r="G26" t="s">
        <v>199</v>
      </c>
      <c r="H26" t="s">
        <v>1391</v>
      </c>
      <c r="I26">
        <v>88</v>
      </c>
      <c r="J26" t="s">
        <v>200</v>
      </c>
      <c r="K26" t="s">
        <v>111</v>
      </c>
      <c r="L26">
        <v>3</v>
      </c>
      <c r="M26" t="s">
        <v>112</v>
      </c>
      <c r="N26" t="s">
        <v>201</v>
      </c>
      <c r="O26" t="s">
        <v>202</v>
      </c>
      <c r="P26" t="s">
        <v>203</v>
      </c>
      <c r="Q26" t="s">
        <v>204</v>
      </c>
      <c r="R26" t="s">
        <v>65</v>
      </c>
      <c r="S26" t="s">
        <v>141</v>
      </c>
      <c r="T26" t="s">
        <v>205</v>
      </c>
      <c r="U26" t="s">
        <v>206</v>
      </c>
      <c r="V26" t="s">
        <v>207</v>
      </c>
      <c r="W26">
        <v>40970</v>
      </c>
      <c r="X26">
        <v>39997</v>
      </c>
      <c r="Y26">
        <v>973</v>
      </c>
      <c r="Z26">
        <v>2197</v>
      </c>
      <c r="AA26" t="s">
        <v>70</v>
      </c>
      <c r="AB26" s="4">
        <f t="shared" ca="1" si="0"/>
        <v>45914</v>
      </c>
      <c r="AC26" t="s">
        <v>71</v>
      </c>
      <c r="AD26" t="s">
        <v>95</v>
      </c>
      <c r="AE26">
        <v>6</v>
      </c>
      <c r="AF26">
        <v>90</v>
      </c>
      <c r="AG26">
        <v>99</v>
      </c>
      <c r="AH26" t="s">
        <v>73</v>
      </c>
      <c r="AI26">
        <v>72</v>
      </c>
      <c r="AJ26">
        <v>33</v>
      </c>
      <c r="AK26">
        <v>25</v>
      </c>
      <c r="AL26" t="s">
        <v>97</v>
      </c>
      <c r="AM26">
        <v>75</v>
      </c>
      <c r="AN26" t="s">
        <v>98</v>
      </c>
      <c r="AO26">
        <v>3</v>
      </c>
      <c r="AP26">
        <v>5</v>
      </c>
      <c r="AQ26" t="s">
        <v>208</v>
      </c>
      <c r="AR26" t="s">
        <v>209</v>
      </c>
      <c r="AS26" t="s">
        <v>70</v>
      </c>
      <c r="AT26" t="s">
        <v>76</v>
      </c>
      <c r="AU26" t="s">
        <v>160</v>
      </c>
      <c r="AV26" t="s">
        <v>147</v>
      </c>
      <c r="AX26" t="str">
        <f t="shared" si="1"/>
        <v>Aundh</v>
      </c>
    </row>
    <row r="27" spans="1:50" x14ac:dyDescent="0.25">
      <c r="A27" t="s">
        <v>210</v>
      </c>
      <c r="B27" t="s">
        <v>1362</v>
      </c>
      <c r="C27" t="s">
        <v>211</v>
      </c>
      <c r="D27" t="s">
        <v>130</v>
      </c>
      <c r="E27" t="s">
        <v>213</v>
      </c>
      <c r="F27" t="s">
        <v>214</v>
      </c>
      <c r="G27" t="s">
        <v>215</v>
      </c>
      <c r="H27" t="s">
        <v>1389</v>
      </c>
      <c r="I27">
        <v>73</v>
      </c>
      <c r="J27" t="s">
        <v>216</v>
      </c>
      <c r="K27" t="s">
        <v>59</v>
      </c>
      <c r="L27">
        <v>12</v>
      </c>
      <c r="M27" t="s">
        <v>112</v>
      </c>
      <c r="N27" t="s">
        <v>217</v>
      </c>
      <c r="O27" t="s">
        <v>218</v>
      </c>
      <c r="P27" t="s">
        <v>203</v>
      </c>
      <c r="Q27" t="s">
        <v>204</v>
      </c>
      <c r="R27" t="s">
        <v>140</v>
      </c>
      <c r="S27" t="s">
        <v>219</v>
      </c>
      <c r="T27" t="s">
        <v>118</v>
      </c>
      <c r="U27" t="s">
        <v>157</v>
      </c>
      <c r="V27" t="s">
        <v>220</v>
      </c>
      <c r="W27">
        <v>21161</v>
      </c>
      <c r="X27">
        <v>19825</v>
      </c>
      <c r="Y27">
        <v>1336</v>
      </c>
      <c r="Z27">
        <v>3988</v>
      </c>
      <c r="AA27" t="s">
        <v>70</v>
      </c>
      <c r="AB27" s="4">
        <f t="shared" ca="1" si="0"/>
        <v>45987</v>
      </c>
      <c r="AC27" t="s">
        <v>71</v>
      </c>
      <c r="AD27" t="s">
        <v>191</v>
      </c>
      <c r="AE27">
        <v>8</v>
      </c>
      <c r="AF27">
        <v>68</v>
      </c>
      <c r="AG27">
        <v>83</v>
      </c>
      <c r="AH27" t="s">
        <v>96</v>
      </c>
      <c r="AI27">
        <v>99</v>
      </c>
      <c r="AJ27">
        <v>56</v>
      </c>
      <c r="AK27">
        <v>41</v>
      </c>
      <c r="AM27">
        <v>73</v>
      </c>
      <c r="AN27" t="s">
        <v>70</v>
      </c>
      <c r="AO27">
        <v>2</v>
      </c>
      <c r="AP27">
        <v>5</v>
      </c>
      <c r="AQ27" t="s">
        <v>176</v>
      </c>
      <c r="AR27" t="s">
        <v>144</v>
      </c>
      <c r="AS27" t="s">
        <v>98</v>
      </c>
      <c r="AT27" t="s">
        <v>125</v>
      </c>
      <c r="AU27" t="s">
        <v>77</v>
      </c>
      <c r="AV27" t="s">
        <v>147</v>
      </c>
      <c r="AX27" t="str">
        <f t="shared" si="1"/>
        <v>Aundh</v>
      </c>
    </row>
    <row r="28" spans="1:50" x14ac:dyDescent="0.25">
      <c r="A28" t="s">
        <v>418</v>
      </c>
      <c r="B28" t="s">
        <v>419</v>
      </c>
      <c r="C28" t="s">
        <v>420</v>
      </c>
      <c r="D28" t="s">
        <v>130</v>
      </c>
      <c r="E28" t="s">
        <v>422</v>
      </c>
      <c r="F28" t="s">
        <v>423</v>
      </c>
      <c r="G28" t="s">
        <v>424</v>
      </c>
      <c r="H28" t="s">
        <v>135</v>
      </c>
      <c r="I28">
        <v>78</v>
      </c>
      <c r="J28" t="s">
        <v>425</v>
      </c>
      <c r="K28" t="s">
        <v>111</v>
      </c>
      <c r="L28">
        <v>6</v>
      </c>
      <c r="M28" t="s">
        <v>112</v>
      </c>
      <c r="N28" t="s">
        <v>426</v>
      </c>
      <c r="O28" t="s">
        <v>427</v>
      </c>
      <c r="P28" t="s">
        <v>285</v>
      </c>
      <c r="Q28" t="s">
        <v>204</v>
      </c>
      <c r="R28" t="s">
        <v>65</v>
      </c>
      <c r="S28" t="s">
        <v>219</v>
      </c>
      <c r="T28" t="s">
        <v>205</v>
      </c>
      <c r="U28" t="s">
        <v>229</v>
      </c>
      <c r="V28" t="s">
        <v>207</v>
      </c>
      <c r="W28">
        <v>45981</v>
      </c>
      <c r="X28">
        <v>45836</v>
      </c>
      <c r="Y28">
        <v>145</v>
      </c>
      <c r="Z28">
        <v>3623</v>
      </c>
      <c r="AA28" t="s">
        <v>98</v>
      </c>
      <c r="AB28" s="4">
        <f t="shared" ca="1" si="0"/>
        <v>45902</v>
      </c>
      <c r="AC28" t="s">
        <v>71</v>
      </c>
      <c r="AD28" t="s">
        <v>121</v>
      </c>
      <c r="AE28">
        <v>8</v>
      </c>
      <c r="AF28">
        <v>74</v>
      </c>
      <c r="AG28">
        <v>94</v>
      </c>
      <c r="AH28" t="s">
        <v>234</v>
      </c>
      <c r="AI28">
        <v>63</v>
      </c>
      <c r="AJ28">
        <v>34</v>
      </c>
      <c r="AK28">
        <v>25</v>
      </c>
      <c r="AM28">
        <v>73</v>
      </c>
      <c r="AN28" t="s">
        <v>70</v>
      </c>
      <c r="AO28">
        <v>4</v>
      </c>
      <c r="AP28">
        <v>5</v>
      </c>
      <c r="AQ28" t="s">
        <v>352</v>
      </c>
      <c r="AR28" t="s">
        <v>429</v>
      </c>
      <c r="AS28" t="s">
        <v>98</v>
      </c>
      <c r="AT28" t="s">
        <v>177</v>
      </c>
      <c r="AU28" t="s">
        <v>126</v>
      </c>
      <c r="AV28" t="s">
        <v>78</v>
      </c>
      <c r="AW28" t="s">
        <v>102</v>
      </c>
      <c r="AX28" t="str">
        <f t="shared" si="1"/>
        <v>Aundh</v>
      </c>
    </row>
    <row r="29" spans="1:50" x14ac:dyDescent="0.25">
      <c r="A29" t="s">
        <v>495</v>
      </c>
      <c r="B29" t="s">
        <v>179</v>
      </c>
      <c r="C29" t="s">
        <v>496</v>
      </c>
      <c r="D29" t="s">
        <v>130</v>
      </c>
      <c r="E29" t="s">
        <v>497</v>
      </c>
      <c r="F29" t="s">
        <v>498</v>
      </c>
      <c r="G29" t="s">
        <v>499</v>
      </c>
      <c r="H29" t="s">
        <v>1388</v>
      </c>
      <c r="I29">
        <v>94</v>
      </c>
      <c r="J29" t="s">
        <v>500</v>
      </c>
      <c r="K29" t="s">
        <v>169</v>
      </c>
      <c r="L29">
        <v>3</v>
      </c>
      <c r="M29" t="s">
        <v>112</v>
      </c>
      <c r="N29" t="s">
        <v>501</v>
      </c>
      <c r="O29" t="s">
        <v>159</v>
      </c>
      <c r="P29" t="s">
        <v>92</v>
      </c>
      <c r="Q29" t="s">
        <v>64</v>
      </c>
      <c r="R29" t="s">
        <v>140</v>
      </c>
      <c r="S29" t="s">
        <v>141</v>
      </c>
      <c r="T29" t="s">
        <v>142</v>
      </c>
      <c r="U29" t="s">
        <v>307</v>
      </c>
      <c r="V29" t="s">
        <v>502</v>
      </c>
      <c r="W29">
        <v>29344</v>
      </c>
      <c r="X29">
        <v>27076</v>
      </c>
      <c r="Y29">
        <v>2268</v>
      </c>
      <c r="Z29">
        <v>4754</v>
      </c>
      <c r="AA29" t="s">
        <v>70</v>
      </c>
      <c r="AB29" s="4">
        <f t="shared" ca="1" si="0"/>
        <v>45846</v>
      </c>
      <c r="AC29" t="s">
        <v>71</v>
      </c>
      <c r="AD29" t="s">
        <v>121</v>
      </c>
      <c r="AE29">
        <v>8</v>
      </c>
      <c r="AF29">
        <v>48</v>
      </c>
      <c r="AG29">
        <v>96</v>
      </c>
      <c r="AH29" t="s">
        <v>234</v>
      </c>
      <c r="AI29">
        <v>100</v>
      </c>
      <c r="AJ29">
        <v>60</v>
      </c>
      <c r="AK29">
        <v>44</v>
      </c>
      <c r="AL29" t="s">
        <v>122</v>
      </c>
      <c r="AM29">
        <v>73</v>
      </c>
      <c r="AN29" t="s">
        <v>98</v>
      </c>
      <c r="AO29">
        <v>4</v>
      </c>
      <c r="AP29">
        <v>2</v>
      </c>
      <c r="AQ29" t="s">
        <v>189</v>
      </c>
      <c r="AR29" t="s">
        <v>233</v>
      </c>
      <c r="AS29" t="s">
        <v>98</v>
      </c>
      <c r="AT29" t="s">
        <v>125</v>
      </c>
      <c r="AU29" t="s">
        <v>160</v>
      </c>
      <c r="AV29" t="s">
        <v>147</v>
      </c>
      <c r="AX29" t="str">
        <f t="shared" si="1"/>
        <v>Aundh</v>
      </c>
    </row>
    <row r="30" spans="1:50" x14ac:dyDescent="0.25">
      <c r="A30" t="s">
        <v>250</v>
      </c>
      <c r="B30" t="s">
        <v>1363</v>
      </c>
      <c r="C30" t="s">
        <v>252</v>
      </c>
      <c r="D30" t="s">
        <v>52</v>
      </c>
      <c r="E30" t="s">
        <v>254</v>
      </c>
      <c r="F30" t="s">
        <v>255</v>
      </c>
      <c r="G30" t="s">
        <v>256</v>
      </c>
      <c r="H30" t="s">
        <v>87</v>
      </c>
      <c r="I30">
        <v>63</v>
      </c>
      <c r="J30" t="s">
        <v>257</v>
      </c>
      <c r="K30" t="s">
        <v>242</v>
      </c>
      <c r="L30">
        <v>12</v>
      </c>
      <c r="M30" t="s">
        <v>60</v>
      </c>
      <c r="N30" t="s">
        <v>156</v>
      </c>
      <c r="O30" t="s">
        <v>258</v>
      </c>
      <c r="P30" t="s">
        <v>259</v>
      </c>
      <c r="Q30" t="s">
        <v>204</v>
      </c>
      <c r="R30" t="s">
        <v>140</v>
      </c>
      <c r="S30" t="s">
        <v>117</v>
      </c>
      <c r="T30" t="s">
        <v>118</v>
      </c>
      <c r="U30" t="s">
        <v>260</v>
      </c>
      <c r="V30" t="s">
        <v>261</v>
      </c>
      <c r="W30">
        <v>47685</v>
      </c>
      <c r="X30">
        <v>47563</v>
      </c>
      <c r="Y30">
        <v>122</v>
      </c>
      <c r="Z30">
        <v>663</v>
      </c>
      <c r="AA30" t="s">
        <v>70</v>
      </c>
      <c r="AB30" s="4">
        <f t="shared" ca="1" si="0"/>
        <v>45905</v>
      </c>
      <c r="AC30" t="s">
        <v>71</v>
      </c>
      <c r="AD30" t="s">
        <v>191</v>
      </c>
      <c r="AE30">
        <v>9</v>
      </c>
      <c r="AF30">
        <v>76</v>
      </c>
      <c r="AG30">
        <v>78</v>
      </c>
      <c r="AH30" t="s">
        <v>234</v>
      </c>
      <c r="AI30">
        <v>98</v>
      </c>
      <c r="AJ30">
        <v>59</v>
      </c>
      <c r="AK30">
        <v>43</v>
      </c>
      <c r="AL30" t="s">
        <v>97</v>
      </c>
      <c r="AM30">
        <v>72</v>
      </c>
      <c r="AN30" t="s">
        <v>70</v>
      </c>
      <c r="AO30">
        <v>4</v>
      </c>
      <c r="AP30">
        <v>2</v>
      </c>
      <c r="AQ30" t="s">
        <v>262</v>
      </c>
      <c r="AR30" t="s">
        <v>263</v>
      </c>
      <c r="AS30" t="s">
        <v>98</v>
      </c>
      <c r="AT30" t="s">
        <v>125</v>
      </c>
      <c r="AU30" t="s">
        <v>126</v>
      </c>
      <c r="AV30" t="s">
        <v>78</v>
      </c>
      <c r="AW30" t="s">
        <v>102</v>
      </c>
      <c r="AX30" t="str">
        <f t="shared" si="1"/>
        <v>Aundh</v>
      </c>
    </row>
    <row r="31" spans="1:50" x14ac:dyDescent="0.25">
      <c r="A31" t="s">
        <v>264</v>
      </c>
      <c r="B31" t="s">
        <v>265</v>
      </c>
      <c r="C31" t="s">
        <v>266</v>
      </c>
      <c r="D31" t="s">
        <v>130</v>
      </c>
      <c r="E31" t="s">
        <v>268</v>
      </c>
      <c r="F31" t="s">
        <v>269</v>
      </c>
      <c r="G31" t="s">
        <v>199</v>
      </c>
      <c r="H31" t="s">
        <v>1388</v>
      </c>
      <c r="I31">
        <v>71</v>
      </c>
      <c r="J31" t="s">
        <v>270</v>
      </c>
      <c r="K31" t="s">
        <v>169</v>
      </c>
      <c r="L31">
        <v>12</v>
      </c>
      <c r="M31" t="s">
        <v>89</v>
      </c>
      <c r="N31" t="s">
        <v>271</v>
      </c>
      <c r="O31" t="s">
        <v>272</v>
      </c>
      <c r="P31" t="s">
        <v>259</v>
      </c>
      <c r="Q31" t="s">
        <v>204</v>
      </c>
      <c r="R31" t="s">
        <v>140</v>
      </c>
      <c r="S31" t="s">
        <v>66</v>
      </c>
      <c r="T31" t="s">
        <v>273</v>
      </c>
      <c r="U31" t="s">
        <v>217</v>
      </c>
      <c r="V31" t="s">
        <v>274</v>
      </c>
      <c r="W31">
        <v>19992</v>
      </c>
      <c r="X31">
        <v>16844</v>
      </c>
      <c r="Y31">
        <v>3148</v>
      </c>
      <c r="Z31">
        <v>3877</v>
      </c>
      <c r="AA31" t="s">
        <v>98</v>
      </c>
      <c r="AB31" s="4">
        <f t="shared" ca="1" si="0"/>
        <v>46015</v>
      </c>
      <c r="AC31" t="s">
        <v>71</v>
      </c>
      <c r="AD31" t="s">
        <v>95</v>
      </c>
      <c r="AE31">
        <v>6</v>
      </c>
      <c r="AF31">
        <v>82</v>
      </c>
      <c r="AG31">
        <v>99</v>
      </c>
      <c r="AH31" t="s">
        <v>234</v>
      </c>
      <c r="AI31">
        <v>73</v>
      </c>
      <c r="AJ31">
        <v>37</v>
      </c>
      <c r="AK31">
        <v>27</v>
      </c>
      <c r="AL31" t="s">
        <v>122</v>
      </c>
      <c r="AM31">
        <v>72</v>
      </c>
      <c r="AN31" t="s">
        <v>98</v>
      </c>
      <c r="AO31">
        <v>4</v>
      </c>
      <c r="AP31">
        <v>3</v>
      </c>
      <c r="AQ31" t="s">
        <v>158</v>
      </c>
      <c r="AR31" t="s">
        <v>119</v>
      </c>
      <c r="AS31" t="s">
        <v>70</v>
      </c>
      <c r="AT31" t="s">
        <v>101</v>
      </c>
      <c r="AU31" t="s">
        <v>126</v>
      </c>
      <c r="AV31" t="s">
        <v>78</v>
      </c>
      <c r="AW31" t="s">
        <v>276</v>
      </c>
      <c r="AX31" t="str">
        <f t="shared" si="1"/>
        <v>Aundh</v>
      </c>
    </row>
    <row r="32" spans="1:50" x14ac:dyDescent="0.25">
      <c r="A32" t="s">
        <v>552</v>
      </c>
      <c r="B32" t="s">
        <v>460</v>
      </c>
      <c r="C32" t="s">
        <v>553</v>
      </c>
      <c r="D32" t="s">
        <v>130</v>
      </c>
      <c r="E32" t="s">
        <v>555</v>
      </c>
      <c r="F32" t="s">
        <v>556</v>
      </c>
      <c r="G32" t="s">
        <v>557</v>
      </c>
      <c r="H32" t="s">
        <v>1390</v>
      </c>
      <c r="I32">
        <v>76</v>
      </c>
      <c r="J32" t="s">
        <v>558</v>
      </c>
      <c r="K32" t="s">
        <v>111</v>
      </c>
      <c r="L32">
        <v>3</v>
      </c>
      <c r="M32" t="s">
        <v>60</v>
      </c>
      <c r="N32" t="s">
        <v>229</v>
      </c>
      <c r="O32" t="s">
        <v>230</v>
      </c>
      <c r="P32" t="s">
        <v>559</v>
      </c>
      <c r="Q32" t="s">
        <v>116</v>
      </c>
      <c r="R32" t="s">
        <v>140</v>
      </c>
      <c r="S32" t="s">
        <v>141</v>
      </c>
      <c r="T32" t="s">
        <v>118</v>
      </c>
      <c r="U32" t="s">
        <v>100</v>
      </c>
      <c r="V32" t="s">
        <v>144</v>
      </c>
      <c r="W32">
        <v>41685</v>
      </c>
      <c r="X32">
        <v>41195</v>
      </c>
      <c r="Y32">
        <v>490</v>
      </c>
      <c r="Z32">
        <v>4889</v>
      </c>
      <c r="AA32" t="s">
        <v>70</v>
      </c>
      <c r="AB32" s="4">
        <f t="shared" ca="1" si="0"/>
        <v>45902</v>
      </c>
      <c r="AC32" t="s">
        <v>71</v>
      </c>
      <c r="AD32" t="s">
        <v>191</v>
      </c>
      <c r="AE32">
        <v>1</v>
      </c>
      <c r="AF32">
        <v>62</v>
      </c>
      <c r="AG32">
        <v>98</v>
      </c>
      <c r="AH32" t="s">
        <v>73</v>
      </c>
      <c r="AI32">
        <v>67</v>
      </c>
      <c r="AJ32">
        <v>55</v>
      </c>
      <c r="AK32">
        <v>39</v>
      </c>
      <c r="AL32" t="s">
        <v>122</v>
      </c>
      <c r="AM32">
        <v>70</v>
      </c>
      <c r="AN32" t="s">
        <v>70</v>
      </c>
      <c r="AO32">
        <v>2</v>
      </c>
      <c r="AP32">
        <v>2</v>
      </c>
      <c r="AQ32" t="s">
        <v>398</v>
      </c>
      <c r="AR32" t="s">
        <v>560</v>
      </c>
      <c r="AS32" t="s">
        <v>70</v>
      </c>
      <c r="AT32" t="s">
        <v>101</v>
      </c>
      <c r="AU32" t="s">
        <v>126</v>
      </c>
      <c r="AV32" t="s">
        <v>78</v>
      </c>
      <c r="AW32" t="s">
        <v>102</v>
      </c>
      <c r="AX32" t="str">
        <f t="shared" si="1"/>
        <v>Aundh</v>
      </c>
    </row>
    <row r="33" spans="1:50" x14ac:dyDescent="0.25">
      <c r="A33" t="s">
        <v>236</v>
      </c>
      <c r="B33" t="s">
        <v>164</v>
      </c>
      <c r="C33" t="s">
        <v>237</v>
      </c>
      <c r="D33" t="s">
        <v>130</v>
      </c>
      <c r="E33" t="s">
        <v>238</v>
      </c>
      <c r="F33" t="s">
        <v>239</v>
      </c>
      <c r="G33" t="s">
        <v>240</v>
      </c>
      <c r="H33" t="s">
        <v>1390</v>
      </c>
      <c r="I33">
        <v>66</v>
      </c>
      <c r="J33" t="s">
        <v>241</v>
      </c>
      <c r="K33" t="s">
        <v>242</v>
      </c>
      <c r="L33">
        <v>6</v>
      </c>
      <c r="M33" t="s">
        <v>89</v>
      </c>
      <c r="N33" t="s">
        <v>243</v>
      </c>
      <c r="O33" t="s">
        <v>244</v>
      </c>
      <c r="P33" t="s">
        <v>245</v>
      </c>
      <c r="Q33" t="s">
        <v>204</v>
      </c>
      <c r="R33" t="s">
        <v>140</v>
      </c>
      <c r="S33" t="s">
        <v>141</v>
      </c>
      <c r="T33" t="s">
        <v>67</v>
      </c>
      <c r="U33" t="s">
        <v>246</v>
      </c>
      <c r="V33" t="s">
        <v>247</v>
      </c>
      <c r="W33">
        <v>20936</v>
      </c>
      <c r="X33">
        <v>18272</v>
      </c>
      <c r="Y33">
        <v>2664</v>
      </c>
      <c r="Z33">
        <v>2870</v>
      </c>
      <c r="AA33" t="s">
        <v>70</v>
      </c>
      <c r="AB33" s="4">
        <f t="shared" ca="1" si="0"/>
        <v>45970</v>
      </c>
      <c r="AC33" t="s">
        <v>71</v>
      </c>
      <c r="AD33" t="s">
        <v>191</v>
      </c>
      <c r="AE33">
        <v>10</v>
      </c>
      <c r="AF33">
        <v>49</v>
      </c>
      <c r="AG33">
        <v>76</v>
      </c>
      <c r="AH33" t="s">
        <v>73</v>
      </c>
      <c r="AI33">
        <v>96</v>
      </c>
      <c r="AJ33">
        <v>38</v>
      </c>
      <c r="AK33">
        <v>25</v>
      </c>
      <c r="AM33">
        <v>65</v>
      </c>
      <c r="AN33" t="s">
        <v>70</v>
      </c>
      <c r="AO33">
        <v>1</v>
      </c>
      <c r="AP33">
        <v>5</v>
      </c>
      <c r="AQ33" t="s">
        <v>248</v>
      </c>
      <c r="AR33" t="s">
        <v>249</v>
      </c>
      <c r="AS33" t="s">
        <v>98</v>
      </c>
      <c r="AT33" t="s">
        <v>125</v>
      </c>
      <c r="AU33" t="s">
        <v>77</v>
      </c>
      <c r="AV33" t="s">
        <v>78</v>
      </c>
      <c r="AW33" t="s">
        <v>79</v>
      </c>
      <c r="AX33" t="str">
        <f t="shared" si="1"/>
        <v>Aundh</v>
      </c>
    </row>
    <row r="34" spans="1:50" x14ac:dyDescent="0.25">
      <c r="A34" t="s">
        <v>469</v>
      </c>
      <c r="B34" t="s">
        <v>1364</v>
      </c>
      <c r="C34" t="s">
        <v>470</v>
      </c>
      <c r="D34" t="s">
        <v>130</v>
      </c>
      <c r="E34" t="s">
        <v>471</v>
      </c>
      <c r="F34" t="s">
        <v>472</v>
      </c>
      <c r="G34" t="s">
        <v>473</v>
      </c>
      <c r="H34" t="s">
        <v>135</v>
      </c>
      <c r="I34">
        <v>80</v>
      </c>
      <c r="J34" t="s">
        <v>474</v>
      </c>
      <c r="K34" t="s">
        <v>59</v>
      </c>
      <c r="L34">
        <v>3</v>
      </c>
      <c r="M34" t="s">
        <v>89</v>
      </c>
      <c r="N34" t="s">
        <v>475</v>
      </c>
      <c r="O34" t="s">
        <v>342</v>
      </c>
      <c r="P34" t="s">
        <v>384</v>
      </c>
      <c r="Q34" t="s">
        <v>116</v>
      </c>
      <c r="R34" t="s">
        <v>140</v>
      </c>
      <c r="S34" t="s">
        <v>66</v>
      </c>
      <c r="T34" t="s">
        <v>142</v>
      </c>
      <c r="U34" t="s">
        <v>438</v>
      </c>
      <c r="V34" t="s">
        <v>438</v>
      </c>
      <c r="W34">
        <v>47410</v>
      </c>
      <c r="X34">
        <v>46718</v>
      </c>
      <c r="Y34">
        <v>692</v>
      </c>
      <c r="Z34">
        <v>2379</v>
      </c>
      <c r="AA34" t="s">
        <v>98</v>
      </c>
      <c r="AB34" s="4">
        <f t="shared" ca="1" si="0"/>
        <v>45915</v>
      </c>
      <c r="AC34" t="s">
        <v>71</v>
      </c>
      <c r="AD34" t="s">
        <v>121</v>
      </c>
      <c r="AE34">
        <v>10</v>
      </c>
      <c r="AF34">
        <v>76</v>
      </c>
      <c r="AG34">
        <v>77</v>
      </c>
      <c r="AH34" t="s">
        <v>96</v>
      </c>
      <c r="AI34">
        <v>88</v>
      </c>
      <c r="AJ34">
        <v>36</v>
      </c>
      <c r="AK34">
        <v>22</v>
      </c>
      <c r="AM34">
        <v>61</v>
      </c>
      <c r="AN34" t="s">
        <v>98</v>
      </c>
      <c r="AO34">
        <v>3</v>
      </c>
      <c r="AP34">
        <v>2</v>
      </c>
      <c r="AQ34" t="s">
        <v>476</v>
      </c>
      <c r="AR34" t="s">
        <v>477</v>
      </c>
      <c r="AS34" t="s">
        <v>70</v>
      </c>
      <c r="AT34" t="s">
        <v>76</v>
      </c>
      <c r="AU34" t="s">
        <v>77</v>
      </c>
      <c r="AV34" t="s">
        <v>78</v>
      </c>
      <c r="AW34" t="s">
        <v>276</v>
      </c>
      <c r="AX34" t="str">
        <f t="shared" si="1"/>
        <v>Aundh</v>
      </c>
    </row>
    <row r="35" spans="1:50" x14ac:dyDescent="0.25">
      <c r="A35" t="s">
        <v>363</v>
      </c>
      <c r="B35" t="s">
        <v>1365</v>
      </c>
      <c r="C35" t="s">
        <v>365</v>
      </c>
      <c r="D35" t="s">
        <v>130</v>
      </c>
      <c r="E35" t="s">
        <v>366</v>
      </c>
      <c r="F35" t="s">
        <v>367</v>
      </c>
      <c r="G35" t="s">
        <v>368</v>
      </c>
      <c r="H35" t="s">
        <v>135</v>
      </c>
      <c r="I35">
        <v>65</v>
      </c>
      <c r="J35" t="s">
        <v>369</v>
      </c>
      <c r="K35" t="s">
        <v>59</v>
      </c>
      <c r="L35">
        <v>12</v>
      </c>
      <c r="M35" t="s">
        <v>89</v>
      </c>
      <c r="N35" t="s">
        <v>274</v>
      </c>
      <c r="O35" t="s">
        <v>370</v>
      </c>
      <c r="P35" t="s">
        <v>371</v>
      </c>
      <c r="Q35" t="s">
        <v>204</v>
      </c>
      <c r="R35" t="s">
        <v>140</v>
      </c>
      <c r="S35" t="s">
        <v>117</v>
      </c>
      <c r="T35" t="s">
        <v>142</v>
      </c>
      <c r="U35" t="s">
        <v>263</v>
      </c>
      <c r="V35" t="s">
        <v>372</v>
      </c>
      <c r="W35">
        <v>29550</v>
      </c>
      <c r="X35">
        <v>28618</v>
      </c>
      <c r="Y35">
        <v>932</v>
      </c>
      <c r="Z35">
        <v>3302</v>
      </c>
      <c r="AA35" t="s">
        <v>98</v>
      </c>
      <c r="AB35" s="4">
        <f t="shared" ca="1" si="0"/>
        <v>45940</v>
      </c>
      <c r="AC35" t="s">
        <v>71</v>
      </c>
      <c r="AD35" t="s">
        <v>95</v>
      </c>
      <c r="AE35">
        <v>8</v>
      </c>
      <c r="AF35">
        <v>45</v>
      </c>
      <c r="AG35">
        <v>54</v>
      </c>
      <c r="AH35" t="s">
        <v>96</v>
      </c>
      <c r="AI35">
        <v>78</v>
      </c>
      <c r="AJ35">
        <v>38</v>
      </c>
      <c r="AK35">
        <v>23</v>
      </c>
      <c r="AL35" t="s">
        <v>97</v>
      </c>
      <c r="AM35">
        <v>60</v>
      </c>
      <c r="AN35" t="s">
        <v>98</v>
      </c>
      <c r="AO35">
        <v>3</v>
      </c>
      <c r="AP35">
        <v>1</v>
      </c>
      <c r="AQ35" t="s">
        <v>373</v>
      </c>
      <c r="AR35" t="s">
        <v>374</v>
      </c>
      <c r="AS35" t="s">
        <v>70</v>
      </c>
      <c r="AT35" t="s">
        <v>76</v>
      </c>
      <c r="AU35" t="s">
        <v>77</v>
      </c>
      <c r="AV35" t="s">
        <v>78</v>
      </c>
      <c r="AW35" t="s">
        <v>102</v>
      </c>
      <c r="AX35" t="str">
        <f t="shared" si="1"/>
        <v>Aundh</v>
      </c>
    </row>
    <row r="36" spans="1:50" x14ac:dyDescent="0.25">
      <c r="A36" t="s">
        <v>575</v>
      </c>
      <c r="B36" t="s">
        <v>104</v>
      </c>
      <c r="C36" t="s">
        <v>576</v>
      </c>
      <c r="D36" t="s">
        <v>130</v>
      </c>
      <c r="E36" t="s">
        <v>577</v>
      </c>
      <c r="F36" t="s">
        <v>578</v>
      </c>
      <c r="G36" t="s">
        <v>579</v>
      </c>
      <c r="H36" t="s">
        <v>135</v>
      </c>
      <c r="I36">
        <v>63</v>
      </c>
      <c r="J36" t="s">
        <v>580</v>
      </c>
      <c r="K36" t="s">
        <v>59</v>
      </c>
      <c r="L36">
        <v>6</v>
      </c>
      <c r="M36" t="s">
        <v>112</v>
      </c>
      <c r="N36" t="s">
        <v>581</v>
      </c>
      <c r="O36" t="s">
        <v>582</v>
      </c>
      <c r="P36" t="s">
        <v>396</v>
      </c>
      <c r="Q36" t="s">
        <v>64</v>
      </c>
      <c r="R36" t="s">
        <v>65</v>
      </c>
      <c r="S36" t="s">
        <v>141</v>
      </c>
      <c r="T36" t="s">
        <v>273</v>
      </c>
      <c r="U36" t="s">
        <v>583</v>
      </c>
      <c r="V36" t="s">
        <v>583</v>
      </c>
      <c r="W36">
        <v>19785</v>
      </c>
      <c r="X36">
        <v>18254</v>
      </c>
      <c r="Y36">
        <v>1531</v>
      </c>
      <c r="Z36">
        <v>2562</v>
      </c>
      <c r="AA36" t="s">
        <v>70</v>
      </c>
      <c r="AB36" s="4">
        <f t="shared" ca="1" si="0"/>
        <v>45959</v>
      </c>
      <c r="AC36" t="s">
        <v>71</v>
      </c>
      <c r="AD36" t="s">
        <v>72</v>
      </c>
      <c r="AE36">
        <v>2</v>
      </c>
      <c r="AF36">
        <v>45</v>
      </c>
      <c r="AG36">
        <v>65</v>
      </c>
      <c r="AH36" t="s">
        <v>234</v>
      </c>
      <c r="AI36">
        <v>73</v>
      </c>
      <c r="AJ36">
        <v>37</v>
      </c>
      <c r="AK36">
        <v>22</v>
      </c>
      <c r="AL36" t="s">
        <v>122</v>
      </c>
      <c r="AM36">
        <v>59</v>
      </c>
      <c r="AN36" t="s">
        <v>98</v>
      </c>
      <c r="AO36">
        <v>4</v>
      </c>
      <c r="AP36">
        <v>1</v>
      </c>
      <c r="AQ36" t="s">
        <v>207</v>
      </c>
      <c r="AR36" t="s">
        <v>468</v>
      </c>
      <c r="AS36" t="s">
        <v>98</v>
      </c>
      <c r="AT36" t="s">
        <v>125</v>
      </c>
      <c r="AU36" t="s">
        <v>160</v>
      </c>
      <c r="AV36" t="s">
        <v>147</v>
      </c>
      <c r="AX36" t="str">
        <f t="shared" si="1"/>
        <v>Aundh</v>
      </c>
    </row>
    <row r="37" spans="1:50" x14ac:dyDescent="0.25">
      <c r="A37" t="s">
        <v>353</v>
      </c>
      <c r="B37" t="s">
        <v>81</v>
      </c>
      <c r="C37" t="s">
        <v>354</v>
      </c>
      <c r="D37" t="s">
        <v>52</v>
      </c>
      <c r="E37" t="s">
        <v>356</v>
      </c>
      <c r="F37" t="s">
        <v>357</v>
      </c>
      <c r="G37" t="s">
        <v>358</v>
      </c>
      <c r="H37" t="s">
        <v>1390</v>
      </c>
      <c r="I37">
        <v>65</v>
      </c>
      <c r="J37" t="s">
        <v>359</v>
      </c>
      <c r="K37" t="s">
        <v>294</v>
      </c>
      <c r="L37">
        <v>3</v>
      </c>
      <c r="M37" t="s">
        <v>112</v>
      </c>
      <c r="N37" t="s">
        <v>360</v>
      </c>
      <c r="O37" t="s">
        <v>144</v>
      </c>
      <c r="P37" t="s">
        <v>297</v>
      </c>
      <c r="Q37" t="s">
        <v>204</v>
      </c>
      <c r="R37" t="s">
        <v>65</v>
      </c>
      <c r="S37" t="s">
        <v>117</v>
      </c>
      <c r="T37" t="s">
        <v>142</v>
      </c>
      <c r="U37" t="s">
        <v>157</v>
      </c>
      <c r="V37" t="s">
        <v>361</v>
      </c>
      <c r="W37">
        <v>32976</v>
      </c>
      <c r="X37">
        <v>32180</v>
      </c>
      <c r="Y37">
        <v>796</v>
      </c>
      <c r="Z37">
        <v>2727</v>
      </c>
      <c r="AA37" t="s">
        <v>98</v>
      </c>
      <c r="AB37" s="4">
        <f t="shared" ca="1" si="0"/>
        <v>45982</v>
      </c>
      <c r="AC37" t="s">
        <v>71</v>
      </c>
      <c r="AD37" t="s">
        <v>121</v>
      </c>
      <c r="AE37">
        <v>5</v>
      </c>
      <c r="AF37">
        <v>55</v>
      </c>
      <c r="AG37">
        <v>55</v>
      </c>
      <c r="AH37" t="s">
        <v>96</v>
      </c>
      <c r="AI37">
        <v>63</v>
      </c>
      <c r="AJ37">
        <v>54</v>
      </c>
      <c r="AK37">
        <v>31</v>
      </c>
      <c r="AL37" t="s">
        <v>97</v>
      </c>
      <c r="AM37">
        <v>57</v>
      </c>
      <c r="AN37" t="s">
        <v>70</v>
      </c>
      <c r="AO37">
        <v>4</v>
      </c>
      <c r="AP37">
        <v>2</v>
      </c>
      <c r="AQ37" t="s">
        <v>362</v>
      </c>
      <c r="AR37" t="s">
        <v>235</v>
      </c>
      <c r="AS37" t="s">
        <v>98</v>
      </c>
      <c r="AT37" t="s">
        <v>101</v>
      </c>
      <c r="AU37" t="s">
        <v>160</v>
      </c>
      <c r="AV37" t="s">
        <v>147</v>
      </c>
      <c r="AX37" t="str">
        <f t="shared" si="1"/>
        <v>Aundh</v>
      </c>
    </row>
    <row r="38" spans="1:50" x14ac:dyDescent="0.25">
      <c r="A38" t="s">
        <v>485</v>
      </c>
      <c r="B38" t="s">
        <v>486</v>
      </c>
      <c r="C38" t="s">
        <v>487</v>
      </c>
      <c r="D38" t="s">
        <v>52</v>
      </c>
      <c r="E38" t="s">
        <v>488</v>
      </c>
      <c r="F38" t="s">
        <v>489</v>
      </c>
      <c r="G38" t="s">
        <v>490</v>
      </c>
      <c r="H38" t="s">
        <v>1391</v>
      </c>
      <c r="I38">
        <v>69</v>
      </c>
      <c r="J38" t="s">
        <v>491</v>
      </c>
      <c r="K38" t="s">
        <v>111</v>
      </c>
      <c r="L38">
        <v>12</v>
      </c>
      <c r="M38" t="s">
        <v>60</v>
      </c>
      <c r="N38" t="s">
        <v>492</v>
      </c>
      <c r="O38" t="s">
        <v>493</v>
      </c>
      <c r="P38" t="s">
        <v>188</v>
      </c>
      <c r="Q38" t="s">
        <v>116</v>
      </c>
      <c r="R38" t="s">
        <v>65</v>
      </c>
      <c r="S38" t="s">
        <v>141</v>
      </c>
      <c r="T38" t="s">
        <v>118</v>
      </c>
      <c r="U38" t="s">
        <v>477</v>
      </c>
      <c r="V38" t="s">
        <v>176</v>
      </c>
      <c r="W38">
        <v>28619</v>
      </c>
      <c r="X38">
        <v>25381</v>
      </c>
      <c r="Y38">
        <v>3238</v>
      </c>
      <c r="Z38">
        <v>3240</v>
      </c>
      <c r="AA38" t="s">
        <v>70</v>
      </c>
      <c r="AB38" s="4">
        <f t="shared" ca="1" si="0"/>
        <v>45925</v>
      </c>
      <c r="AC38" t="s">
        <v>71</v>
      </c>
      <c r="AD38" t="s">
        <v>95</v>
      </c>
      <c r="AE38">
        <v>6</v>
      </c>
      <c r="AF38">
        <v>85</v>
      </c>
      <c r="AG38">
        <v>88</v>
      </c>
      <c r="AH38" t="s">
        <v>234</v>
      </c>
      <c r="AI38">
        <v>83</v>
      </c>
      <c r="AJ38">
        <v>26</v>
      </c>
      <c r="AK38">
        <v>15</v>
      </c>
      <c r="AL38" t="s">
        <v>97</v>
      </c>
      <c r="AM38">
        <v>57</v>
      </c>
      <c r="AN38" t="s">
        <v>70</v>
      </c>
      <c r="AO38">
        <v>5</v>
      </c>
      <c r="AP38">
        <v>4</v>
      </c>
      <c r="AQ38" t="s">
        <v>350</v>
      </c>
      <c r="AR38" t="s">
        <v>494</v>
      </c>
      <c r="AS38" t="s">
        <v>98</v>
      </c>
      <c r="AT38" t="s">
        <v>287</v>
      </c>
      <c r="AU38" t="s">
        <v>160</v>
      </c>
      <c r="AV38" t="s">
        <v>78</v>
      </c>
      <c r="AW38" t="s">
        <v>102</v>
      </c>
      <c r="AX38" t="str">
        <f t="shared" si="1"/>
        <v>Aundh</v>
      </c>
    </row>
    <row r="39" spans="1:50" x14ac:dyDescent="0.25">
      <c r="A39" t="s">
        <v>612</v>
      </c>
      <c r="B39" t="s">
        <v>613</v>
      </c>
      <c r="C39" t="s">
        <v>180</v>
      </c>
      <c r="D39" t="s">
        <v>130</v>
      </c>
      <c r="E39" t="s">
        <v>614</v>
      </c>
      <c r="F39" t="s">
        <v>615</v>
      </c>
      <c r="G39" t="s">
        <v>616</v>
      </c>
      <c r="H39" t="s">
        <v>1388</v>
      </c>
      <c r="I39">
        <v>83</v>
      </c>
      <c r="J39" t="s">
        <v>617</v>
      </c>
      <c r="K39" t="s">
        <v>242</v>
      </c>
      <c r="L39">
        <v>3</v>
      </c>
      <c r="M39" t="s">
        <v>60</v>
      </c>
      <c r="N39" t="s">
        <v>260</v>
      </c>
      <c r="O39" t="s">
        <v>605</v>
      </c>
      <c r="P39" t="s">
        <v>231</v>
      </c>
      <c r="Q39" t="s">
        <v>116</v>
      </c>
      <c r="R39" t="s">
        <v>65</v>
      </c>
      <c r="S39" t="s">
        <v>219</v>
      </c>
      <c r="T39" t="s">
        <v>273</v>
      </c>
      <c r="U39" t="s">
        <v>467</v>
      </c>
      <c r="V39" t="s">
        <v>207</v>
      </c>
      <c r="W39">
        <v>38119</v>
      </c>
      <c r="X39">
        <v>38089</v>
      </c>
      <c r="Y39">
        <v>30</v>
      </c>
      <c r="Z39">
        <v>878</v>
      </c>
      <c r="AA39" t="s">
        <v>98</v>
      </c>
      <c r="AB39" s="4">
        <f t="shared" ca="1" si="0"/>
        <v>46000</v>
      </c>
      <c r="AC39" t="s">
        <v>71</v>
      </c>
      <c r="AD39" t="s">
        <v>72</v>
      </c>
      <c r="AE39">
        <v>5</v>
      </c>
      <c r="AF39">
        <v>49</v>
      </c>
      <c r="AG39">
        <v>86</v>
      </c>
      <c r="AH39" t="s">
        <v>96</v>
      </c>
      <c r="AI39">
        <v>62</v>
      </c>
      <c r="AJ39">
        <v>33</v>
      </c>
      <c r="AK39">
        <v>19</v>
      </c>
      <c r="AL39" t="s">
        <v>97</v>
      </c>
      <c r="AM39">
        <v>57</v>
      </c>
      <c r="AN39" t="s">
        <v>70</v>
      </c>
      <c r="AO39">
        <v>4</v>
      </c>
      <c r="AP39">
        <v>1</v>
      </c>
      <c r="AQ39" t="s">
        <v>341</v>
      </c>
      <c r="AR39" t="s">
        <v>415</v>
      </c>
      <c r="AS39" t="s">
        <v>70</v>
      </c>
      <c r="AT39" t="s">
        <v>101</v>
      </c>
      <c r="AU39" t="s">
        <v>77</v>
      </c>
      <c r="AV39" t="s">
        <v>147</v>
      </c>
      <c r="AX39" t="str">
        <f t="shared" si="1"/>
        <v>Aundh</v>
      </c>
    </row>
    <row r="40" spans="1:50" x14ac:dyDescent="0.25">
      <c r="A40" t="s">
        <v>526</v>
      </c>
      <c r="B40" t="s">
        <v>527</v>
      </c>
      <c r="C40" t="s">
        <v>528</v>
      </c>
      <c r="D40" t="s">
        <v>52</v>
      </c>
      <c r="E40" t="s">
        <v>529</v>
      </c>
      <c r="F40" t="s">
        <v>530</v>
      </c>
      <c r="G40" t="s">
        <v>531</v>
      </c>
      <c r="H40" t="s">
        <v>1389</v>
      </c>
      <c r="I40">
        <v>82</v>
      </c>
      <c r="J40" t="s">
        <v>532</v>
      </c>
      <c r="K40" t="s">
        <v>59</v>
      </c>
      <c r="L40">
        <v>12</v>
      </c>
      <c r="M40" t="s">
        <v>60</v>
      </c>
      <c r="N40" t="s">
        <v>533</v>
      </c>
      <c r="O40" t="s">
        <v>534</v>
      </c>
      <c r="P40" t="s">
        <v>396</v>
      </c>
      <c r="Q40" t="s">
        <v>204</v>
      </c>
      <c r="R40" t="s">
        <v>65</v>
      </c>
      <c r="S40" t="s">
        <v>141</v>
      </c>
      <c r="T40" t="s">
        <v>205</v>
      </c>
      <c r="U40" t="s">
        <v>220</v>
      </c>
      <c r="V40" t="s">
        <v>535</v>
      </c>
      <c r="W40">
        <v>39856</v>
      </c>
      <c r="X40">
        <v>38099</v>
      </c>
      <c r="Y40">
        <v>1757</v>
      </c>
      <c r="Z40">
        <v>4355</v>
      </c>
      <c r="AA40" t="s">
        <v>98</v>
      </c>
      <c r="AB40" s="4">
        <f t="shared" ca="1" si="0"/>
        <v>46006</v>
      </c>
      <c r="AC40" t="s">
        <v>71</v>
      </c>
      <c r="AD40" t="s">
        <v>95</v>
      </c>
      <c r="AE40">
        <v>3</v>
      </c>
      <c r="AF40">
        <v>54</v>
      </c>
      <c r="AG40">
        <v>62</v>
      </c>
      <c r="AH40" t="s">
        <v>73</v>
      </c>
      <c r="AI40">
        <v>80</v>
      </c>
      <c r="AJ40">
        <v>35</v>
      </c>
      <c r="AK40">
        <v>19</v>
      </c>
      <c r="AL40" t="s">
        <v>122</v>
      </c>
      <c r="AM40">
        <v>54</v>
      </c>
      <c r="AN40" t="s">
        <v>98</v>
      </c>
      <c r="AO40">
        <v>5</v>
      </c>
      <c r="AP40">
        <v>3</v>
      </c>
      <c r="AQ40" t="s">
        <v>176</v>
      </c>
      <c r="AR40" t="s">
        <v>189</v>
      </c>
      <c r="AS40" t="s">
        <v>70</v>
      </c>
      <c r="AT40" t="s">
        <v>76</v>
      </c>
      <c r="AU40" t="s">
        <v>126</v>
      </c>
      <c r="AV40" t="s">
        <v>78</v>
      </c>
      <c r="AW40" t="s">
        <v>79</v>
      </c>
      <c r="AX40" t="str">
        <f t="shared" si="1"/>
        <v>Aundh</v>
      </c>
    </row>
    <row r="41" spans="1:50" x14ac:dyDescent="0.25">
      <c r="A41" t="s">
        <v>400</v>
      </c>
      <c r="B41" t="s">
        <v>53</v>
      </c>
      <c r="C41" t="s">
        <v>401</v>
      </c>
      <c r="D41" t="s">
        <v>52</v>
      </c>
      <c r="E41" t="s">
        <v>403</v>
      </c>
      <c r="F41" t="s">
        <v>404</v>
      </c>
      <c r="G41" t="s">
        <v>405</v>
      </c>
      <c r="H41" t="s">
        <v>1391</v>
      </c>
      <c r="I41">
        <v>75</v>
      </c>
      <c r="J41" t="s">
        <v>406</v>
      </c>
      <c r="K41" t="s">
        <v>59</v>
      </c>
      <c r="L41">
        <v>3</v>
      </c>
      <c r="M41" t="s">
        <v>112</v>
      </c>
      <c r="N41" t="s">
        <v>382</v>
      </c>
      <c r="O41" t="s">
        <v>407</v>
      </c>
      <c r="P41" t="s">
        <v>203</v>
      </c>
      <c r="Q41" t="s">
        <v>116</v>
      </c>
      <c r="R41" t="s">
        <v>65</v>
      </c>
      <c r="S41" t="s">
        <v>219</v>
      </c>
      <c r="T41" t="s">
        <v>273</v>
      </c>
      <c r="U41" t="s">
        <v>247</v>
      </c>
      <c r="V41" t="s">
        <v>261</v>
      </c>
      <c r="W41">
        <v>27463</v>
      </c>
      <c r="X41">
        <v>25008</v>
      </c>
      <c r="Y41">
        <v>2455</v>
      </c>
      <c r="Z41">
        <v>2660</v>
      </c>
      <c r="AA41" t="s">
        <v>98</v>
      </c>
      <c r="AB41" s="4">
        <f t="shared" ca="1" si="0"/>
        <v>45878</v>
      </c>
      <c r="AC41" t="s">
        <v>71</v>
      </c>
      <c r="AD41" t="s">
        <v>72</v>
      </c>
      <c r="AE41">
        <v>9</v>
      </c>
      <c r="AF41">
        <v>71</v>
      </c>
      <c r="AG41">
        <v>98</v>
      </c>
      <c r="AH41" t="s">
        <v>96</v>
      </c>
      <c r="AI41">
        <v>97</v>
      </c>
      <c r="AJ41">
        <v>44</v>
      </c>
      <c r="AK41">
        <v>23</v>
      </c>
      <c r="AM41">
        <v>52</v>
      </c>
      <c r="AN41" t="s">
        <v>98</v>
      </c>
      <c r="AO41">
        <v>1</v>
      </c>
      <c r="AP41">
        <v>1</v>
      </c>
      <c r="AQ41" t="s">
        <v>173</v>
      </c>
      <c r="AR41" t="s">
        <v>263</v>
      </c>
      <c r="AS41" t="s">
        <v>98</v>
      </c>
      <c r="AT41" t="s">
        <v>125</v>
      </c>
      <c r="AU41" t="s">
        <v>160</v>
      </c>
      <c r="AV41" t="s">
        <v>147</v>
      </c>
      <c r="AX41" t="str">
        <f t="shared" si="1"/>
        <v>Aundh</v>
      </c>
    </row>
    <row r="42" spans="1:50" x14ac:dyDescent="0.25">
      <c r="A42" t="s">
        <v>511</v>
      </c>
      <c r="B42" t="s">
        <v>251</v>
      </c>
      <c r="C42" t="s">
        <v>512</v>
      </c>
      <c r="D42" t="s">
        <v>130</v>
      </c>
      <c r="E42" t="s">
        <v>513</v>
      </c>
      <c r="F42" t="s">
        <v>514</v>
      </c>
      <c r="G42" t="s">
        <v>515</v>
      </c>
      <c r="H42" t="s">
        <v>135</v>
      </c>
      <c r="I42">
        <v>69</v>
      </c>
      <c r="J42" t="s">
        <v>516</v>
      </c>
      <c r="K42" t="s">
        <v>294</v>
      </c>
      <c r="L42">
        <v>3</v>
      </c>
      <c r="M42" t="s">
        <v>89</v>
      </c>
      <c r="N42" t="s">
        <v>274</v>
      </c>
      <c r="O42" t="s">
        <v>517</v>
      </c>
      <c r="P42" t="s">
        <v>371</v>
      </c>
      <c r="Q42" t="s">
        <v>116</v>
      </c>
      <c r="R42" t="s">
        <v>140</v>
      </c>
      <c r="S42" t="s">
        <v>141</v>
      </c>
      <c r="T42" t="s">
        <v>273</v>
      </c>
      <c r="U42" t="s">
        <v>351</v>
      </c>
      <c r="V42" t="s">
        <v>428</v>
      </c>
      <c r="W42">
        <v>16996</v>
      </c>
      <c r="X42">
        <v>16468</v>
      </c>
      <c r="Y42">
        <v>528</v>
      </c>
      <c r="Z42">
        <v>3946</v>
      </c>
      <c r="AA42" t="s">
        <v>70</v>
      </c>
      <c r="AB42" s="4">
        <f t="shared" ca="1" si="0"/>
        <v>45853</v>
      </c>
      <c r="AC42" t="s">
        <v>71</v>
      </c>
      <c r="AD42" t="s">
        <v>121</v>
      </c>
      <c r="AE42">
        <v>8</v>
      </c>
      <c r="AF42">
        <v>73</v>
      </c>
      <c r="AG42">
        <v>91</v>
      </c>
      <c r="AH42" t="s">
        <v>234</v>
      </c>
      <c r="AI42">
        <v>78</v>
      </c>
      <c r="AJ42">
        <v>42</v>
      </c>
      <c r="AK42">
        <v>21</v>
      </c>
      <c r="AL42" t="s">
        <v>122</v>
      </c>
      <c r="AM42">
        <v>50</v>
      </c>
      <c r="AN42" t="s">
        <v>98</v>
      </c>
      <c r="AO42">
        <v>1</v>
      </c>
      <c r="AP42">
        <v>3</v>
      </c>
      <c r="AQ42" t="s">
        <v>143</v>
      </c>
      <c r="AR42" t="s">
        <v>75</v>
      </c>
      <c r="AS42" t="s">
        <v>98</v>
      </c>
      <c r="AT42" t="s">
        <v>125</v>
      </c>
      <c r="AU42" t="s">
        <v>126</v>
      </c>
      <c r="AV42" t="s">
        <v>147</v>
      </c>
      <c r="AX42" t="str">
        <f t="shared" si="1"/>
        <v>Aundh</v>
      </c>
    </row>
    <row r="43" spans="1:50" x14ac:dyDescent="0.25">
      <c r="A43" t="s">
        <v>536</v>
      </c>
      <c r="B43" t="s">
        <v>313</v>
      </c>
      <c r="C43" t="s">
        <v>537</v>
      </c>
      <c r="D43" t="s">
        <v>130</v>
      </c>
      <c r="E43" t="s">
        <v>538</v>
      </c>
      <c r="F43" t="s">
        <v>539</v>
      </c>
      <c r="G43" t="s">
        <v>540</v>
      </c>
      <c r="H43" t="s">
        <v>87</v>
      </c>
      <c r="I43">
        <v>60</v>
      </c>
      <c r="J43" t="s">
        <v>541</v>
      </c>
      <c r="K43" t="s">
        <v>294</v>
      </c>
      <c r="L43">
        <v>3</v>
      </c>
      <c r="M43" t="s">
        <v>60</v>
      </c>
      <c r="N43" t="s">
        <v>217</v>
      </c>
      <c r="O43" t="s">
        <v>387</v>
      </c>
      <c r="P43" t="s">
        <v>285</v>
      </c>
      <c r="Q43" t="s">
        <v>64</v>
      </c>
      <c r="R43" t="s">
        <v>140</v>
      </c>
      <c r="S43" t="s">
        <v>117</v>
      </c>
      <c r="T43" t="s">
        <v>118</v>
      </c>
      <c r="U43" t="s">
        <v>428</v>
      </c>
      <c r="V43" t="s">
        <v>286</v>
      </c>
      <c r="W43">
        <v>31109</v>
      </c>
      <c r="X43">
        <v>29623</v>
      </c>
      <c r="Y43">
        <v>1486</v>
      </c>
      <c r="Z43">
        <v>2133</v>
      </c>
      <c r="AA43" t="s">
        <v>70</v>
      </c>
      <c r="AB43" s="4">
        <f t="shared" ca="1" si="0"/>
        <v>45882</v>
      </c>
      <c r="AC43" t="s">
        <v>71</v>
      </c>
      <c r="AD43" t="s">
        <v>95</v>
      </c>
      <c r="AE43">
        <v>8</v>
      </c>
      <c r="AF43">
        <v>64</v>
      </c>
      <c r="AG43">
        <v>84</v>
      </c>
      <c r="AH43" t="s">
        <v>234</v>
      </c>
      <c r="AI43">
        <v>93</v>
      </c>
      <c r="AJ43">
        <v>58</v>
      </c>
      <c r="AK43">
        <v>27</v>
      </c>
      <c r="AL43" t="s">
        <v>97</v>
      </c>
      <c r="AM43">
        <v>46</v>
      </c>
      <c r="AN43" t="s">
        <v>98</v>
      </c>
      <c r="AO43">
        <v>1</v>
      </c>
      <c r="AP43">
        <v>2</v>
      </c>
      <c r="AQ43" t="s">
        <v>233</v>
      </c>
      <c r="AR43" t="s">
        <v>202</v>
      </c>
      <c r="AS43" t="s">
        <v>98</v>
      </c>
      <c r="AT43" t="s">
        <v>101</v>
      </c>
      <c r="AU43" t="s">
        <v>77</v>
      </c>
      <c r="AV43" t="s">
        <v>147</v>
      </c>
      <c r="AX43" t="str">
        <f t="shared" si="1"/>
        <v>Aundh</v>
      </c>
    </row>
    <row r="44" spans="1:50" x14ac:dyDescent="0.25">
      <c r="A44" t="s">
        <v>127</v>
      </c>
      <c r="B44" t="s">
        <v>128</v>
      </c>
      <c r="C44" t="s">
        <v>129</v>
      </c>
      <c r="D44" t="s">
        <v>130</v>
      </c>
      <c r="E44" t="s">
        <v>132</v>
      </c>
      <c r="F44" t="s">
        <v>133</v>
      </c>
      <c r="G44" t="s">
        <v>134</v>
      </c>
      <c r="H44" t="s">
        <v>135</v>
      </c>
      <c r="I44">
        <v>95</v>
      </c>
      <c r="J44" t="s">
        <v>136</v>
      </c>
      <c r="K44" t="s">
        <v>111</v>
      </c>
      <c r="L44">
        <v>12</v>
      </c>
      <c r="M44" t="s">
        <v>89</v>
      </c>
      <c r="N44" t="s">
        <v>137</v>
      </c>
      <c r="O44" t="s">
        <v>138</v>
      </c>
      <c r="P44" t="s">
        <v>139</v>
      </c>
      <c r="Q44" t="s">
        <v>116</v>
      </c>
      <c r="R44" t="s">
        <v>140</v>
      </c>
      <c r="S44" t="s">
        <v>141</v>
      </c>
      <c r="T44" t="s">
        <v>142</v>
      </c>
      <c r="U44" t="s">
        <v>143</v>
      </c>
      <c r="V44" t="s">
        <v>144</v>
      </c>
      <c r="W44">
        <v>18800</v>
      </c>
      <c r="X44">
        <v>15778</v>
      </c>
      <c r="Y44">
        <v>3022</v>
      </c>
      <c r="Z44">
        <v>4161</v>
      </c>
      <c r="AA44" t="s">
        <v>70</v>
      </c>
      <c r="AB44" s="4">
        <f t="shared" ca="1" si="0"/>
        <v>45876</v>
      </c>
      <c r="AC44" t="s">
        <v>71</v>
      </c>
      <c r="AD44" t="s">
        <v>72</v>
      </c>
      <c r="AE44">
        <v>5</v>
      </c>
      <c r="AF44">
        <v>73</v>
      </c>
      <c r="AG44">
        <v>88</v>
      </c>
      <c r="AH44" t="s">
        <v>96</v>
      </c>
      <c r="AI44">
        <v>75</v>
      </c>
      <c r="AJ44">
        <v>58</v>
      </c>
      <c r="AK44">
        <v>26</v>
      </c>
      <c r="AL44" t="s">
        <v>97</v>
      </c>
      <c r="AM44">
        <v>44</v>
      </c>
      <c r="AN44" t="s">
        <v>98</v>
      </c>
      <c r="AO44">
        <v>4</v>
      </c>
      <c r="AP44">
        <v>3</v>
      </c>
      <c r="AQ44" t="s">
        <v>145</v>
      </c>
      <c r="AR44" t="s">
        <v>146</v>
      </c>
      <c r="AS44" t="s">
        <v>70</v>
      </c>
      <c r="AT44" t="s">
        <v>76</v>
      </c>
      <c r="AU44" t="s">
        <v>77</v>
      </c>
      <c r="AV44" t="s">
        <v>147</v>
      </c>
      <c r="AX44" t="str">
        <f t="shared" si="1"/>
        <v>Aundh</v>
      </c>
    </row>
    <row r="45" spans="1:50" x14ac:dyDescent="0.25">
      <c r="A45" t="s">
        <v>375</v>
      </c>
      <c r="B45" t="s">
        <v>364</v>
      </c>
      <c r="C45" t="s">
        <v>376</v>
      </c>
      <c r="D45" t="s">
        <v>52</v>
      </c>
      <c r="E45" t="s">
        <v>378</v>
      </c>
      <c r="F45" t="s">
        <v>379</v>
      </c>
      <c r="G45" t="s">
        <v>380</v>
      </c>
      <c r="H45" t="s">
        <v>135</v>
      </c>
      <c r="I45">
        <v>68</v>
      </c>
      <c r="J45" t="s">
        <v>381</v>
      </c>
      <c r="K45" t="s">
        <v>294</v>
      </c>
      <c r="L45">
        <v>6</v>
      </c>
      <c r="M45" t="s">
        <v>60</v>
      </c>
      <c r="N45" t="s">
        <v>382</v>
      </c>
      <c r="O45" t="s">
        <v>383</v>
      </c>
      <c r="P45" t="s">
        <v>384</v>
      </c>
      <c r="Q45" t="s">
        <v>116</v>
      </c>
      <c r="R45" t="s">
        <v>65</v>
      </c>
      <c r="S45" t="s">
        <v>219</v>
      </c>
      <c r="T45" t="s">
        <v>67</v>
      </c>
      <c r="U45" t="s">
        <v>385</v>
      </c>
      <c r="V45" t="s">
        <v>386</v>
      </c>
      <c r="W45">
        <v>29689</v>
      </c>
      <c r="X45">
        <v>29635</v>
      </c>
      <c r="Y45">
        <v>54</v>
      </c>
      <c r="Z45">
        <v>3842</v>
      </c>
      <c r="AA45" t="s">
        <v>70</v>
      </c>
      <c r="AB45" s="4">
        <f t="shared" ca="1" si="0"/>
        <v>46018</v>
      </c>
      <c r="AC45" t="s">
        <v>71</v>
      </c>
      <c r="AD45" t="s">
        <v>121</v>
      </c>
      <c r="AE45">
        <v>6</v>
      </c>
      <c r="AF45">
        <v>82</v>
      </c>
      <c r="AG45">
        <v>94</v>
      </c>
      <c r="AH45" t="s">
        <v>234</v>
      </c>
      <c r="AI45">
        <v>67</v>
      </c>
      <c r="AJ45">
        <v>60</v>
      </c>
      <c r="AK45">
        <v>26</v>
      </c>
      <c r="AL45" t="s">
        <v>122</v>
      </c>
      <c r="AM45">
        <v>43</v>
      </c>
      <c r="AN45" t="s">
        <v>70</v>
      </c>
      <c r="AO45">
        <v>3</v>
      </c>
      <c r="AP45">
        <v>2</v>
      </c>
      <c r="AQ45" t="s">
        <v>373</v>
      </c>
      <c r="AR45" t="s">
        <v>387</v>
      </c>
      <c r="AS45" t="s">
        <v>98</v>
      </c>
      <c r="AT45" t="s">
        <v>76</v>
      </c>
      <c r="AU45" t="s">
        <v>160</v>
      </c>
      <c r="AV45" t="s">
        <v>78</v>
      </c>
      <c r="AW45" t="s">
        <v>79</v>
      </c>
      <c r="AX45" t="str">
        <f t="shared" si="1"/>
        <v>Aundh</v>
      </c>
    </row>
    <row r="46" spans="1:50" x14ac:dyDescent="0.25">
      <c r="A46" t="s">
        <v>503</v>
      </c>
      <c r="B46" t="s">
        <v>1366</v>
      </c>
      <c r="C46" t="s">
        <v>504</v>
      </c>
      <c r="D46" t="s">
        <v>130</v>
      </c>
      <c r="E46" t="s">
        <v>505</v>
      </c>
      <c r="F46" t="s">
        <v>506</v>
      </c>
      <c r="G46" t="s">
        <v>507</v>
      </c>
      <c r="H46" t="s">
        <v>87</v>
      </c>
      <c r="I46">
        <v>91</v>
      </c>
      <c r="J46" t="s">
        <v>508</v>
      </c>
      <c r="K46" t="s">
        <v>111</v>
      </c>
      <c r="L46">
        <v>3</v>
      </c>
      <c r="M46" t="s">
        <v>112</v>
      </c>
      <c r="N46" t="s">
        <v>262</v>
      </c>
      <c r="O46" t="s">
        <v>350</v>
      </c>
      <c r="P46" t="s">
        <v>115</v>
      </c>
      <c r="Q46" t="s">
        <v>204</v>
      </c>
      <c r="R46" t="s">
        <v>140</v>
      </c>
      <c r="S46" t="s">
        <v>117</v>
      </c>
      <c r="T46" t="s">
        <v>205</v>
      </c>
      <c r="U46" t="s">
        <v>190</v>
      </c>
      <c r="V46" t="s">
        <v>397</v>
      </c>
      <c r="W46">
        <v>45585</v>
      </c>
      <c r="X46">
        <v>44073</v>
      </c>
      <c r="Y46">
        <v>1512</v>
      </c>
      <c r="Z46">
        <v>3674</v>
      </c>
      <c r="AA46" t="s">
        <v>70</v>
      </c>
      <c r="AB46" s="4">
        <f t="shared" ca="1" si="0"/>
        <v>46020</v>
      </c>
      <c r="AC46" t="s">
        <v>71</v>
      </c>
      <c r="AD46" t="s">
        <v>72</v>
      </c>
      <c r="AE46">
        <v>6</v>
      </c>
      <c r="AF46">
        <v>46</v>
      </c>
      <c r="AG46">
        <v>49</v>
      </c>
      <c r="AH46" t="s">
        <v>73</v>
      </c>
      <c r="AI46">
        <v>100</v>
      </c>
      <c r="AJ46">
        <v>46</v>
      </c>
      <c r="AK46">
        <v>20</v>
      </c>
      <c r="AL46" t="s">
        <v>97</v>
      </c>
      <c r="AM46">
        <v>43</v>
      </c>
      <c r="AN46" t="s">
        <v>70</v>
      </c>
      <c r="AO46">
        <v>2</v>
      </c>
      <c r="AP46">
        <v>2</v>
      </c>
      <c r="AQ46" t="s">
        <v>509</v>
      </c>
      <c r="AR46" t="s">
        <v>510</v>
      </c>
      <c r="AS46" t="s">
        <v>98</v>
      </c>
      <c r="AT46" t="s">
        <v>101</v>
      </c>
      <c r="AU46" t="s">
        <v>126</v>
      </c>
      <c r="AV46" t="s">
        <v>147</v>
      </c>
      <c r="AX46" t="str">
        <f t="shared" si="1"/>
        <v>Aundh</v>
      </c>
    </row>
    <row r="47" spans="1:50" x14ac:dyDescent="0.25">
      <c r="A47" t="s">
        <v>441</v>
      </c>
      <c r="B47" t="s">
        <v>1367</v>
      </c>
      <c r="C47" t="s">
        <v>442</v>
      </c>
      <c r="D47" t="s">
        <v>130</v>
      </c>
      <c r="E47" t="s">
        <v>444</v>
      </c>
      <c r="F47" t="s">
        <v>445</v>
      </c>
      <c r="G47" t="s">
        <v>446</v>
      </c>
      <c r="H47" t="s">
        <v>1388</v>
      </c>
      <c r="I47">
        <v>85</v>
      </c>
      <c r="J47" t="s">
        <v>447</v>
      </c>
      <c r="K47" t="s">
        <v>169</v>
      </c>
      <c r="L47">
        <v>12</v>
      </c>
      <c r="M47" t="s">
        <v>112</v>
      </c>
      <c r="N47" t="s">
        <v>113</v>
      </c>
      <c r="O47" t="s">
        <v>448</v>
      </c>
      <c r="P47" t="s">
        <v>285</v>
      </c>
      <c r="Q47" t="s">
        <v>116</v>
      </c>
      <c r="R47" t="s">
        <v>140</v>
      </c>
      <c r="S47" t="s">
        <v>219</v>
      </c>
      <c r="T47" t="s">
        <v>205</v>
      </c>
      <c r="U47" t="s">
        <v>449</v>
      </c>
      <c r="V47" t="s">
        <v>246</v>
      </c>
      <c r="W47">
        <v>37907</v>
      </c>
      <c r="X47">
        <v>37497</v>
      </c>
      <c r="Y47">
        <v>410</v>
      </c>
      <c r="Z47">
        <v>3915</v>
      </c>
      <c r="AA47" t="s">
        <v>70</v>
      </c>
      <c r="AB47" s="4">
        <f t="shared" ca="1" si="0"/>
        <v>46011</v>
      </c>
      <c r="AC47" t="s">
        <v>71</v>
      </c>
      <c r="AD47" t="s">
        <v>95</v>
      </c>
      <c r="AE47">
        <v>5</v>
      </c>
      <c r="AF47">
        <v>58</v>
      </c>
      <c r="AG47">
        <v>74</v>
      </c>
      <c r="AH47" t="s">
        <v>73</v>
      </c>
      <c r="AI47">
        <v>84</v>
      </c>
      <c r="AJ47">
        <v>38</v>
      </c>
      <c r="AK47">
        <v>16</v>
      </c>
      <c r="AL47" t="s">
        <v>122</v>
      </c>
      <c r="AM47">
        <v>42</v>
      </c>
      <c r="AN47" t="s">
        <v>70</v>
      </c>
      <c r="AO47">
        <v>5</v>
      </c>
      <c r="AP47">
        <v>2</v>
      </c>
      <c r="AQ47" t="s">
        <v>307</v>
      </c>
      <c r="AR47" t="s">
        <v>450</v>
      </c>
      <c r="AS47" t="s">
        <v>70</v>
      </c>
      <c r="AT47" t="s">
        <v>177</v>
      </c>
      <c r="AU47" t="s">
        <v>160</v>
      </c>
      <c r="AV47" t="s">
        <v>147</v>
      </c>
      <c r="AX47" t="str">
        <f t="shared" si="1"/>
        <v>Aundh</v>
      </c>
    </row>
    <row r="48" spans="1:50" x14ac:dyDescent="0.25">
      <c r="A48" t="s">
        <v>584</v>
      </c>
      <c r="B48" t="s">
        <v>402</v>
      </c>
      <c r="C48" t="s">
        <v>585</v>
      </c>
      <c r="D48" t="s">
        <v>130</v>
      </c>
      <c r="E48" t="s">
        <v>586</v>
      </c>
      <c r="F48" t="s">
        <v>587</v>
      </c>
      <c r="G48" t="s">
        <v>588</v>
      </c>
      <c r="H48" t="s">
        <v>1391</v>
      </c>
      <c r="I48">
        <v>94</v>
      </c>
      <c r="J48" t="s">
        <v>589</v>
      </c>
      <c r="K48" t="s">
        <v>294</v>
      </c>
      <c r="L48">
        <v>12</v>
      </c>
      <c r="M48" t="s">
        <v>89</v>
      </c>
      <c r="N48" t="s">
        <v>220</v>
      </c>
      <c r="O48" t="s">
        <v>590</v>
      </c>
      <c r="P48" t="s">
        <v>285</v>
      </c>
      <c r="Q48" t="s">
        <v>116</v>
      </c>
      <c r="R48" t="s">
        <v>65</v>
      </c>
      <c r="S48" t="s">
        <v>219</v>
      </c>
      <c r="T48" t="s">
        <v>205</v>
      </c>
      <c r="U48" t="s">
        <v>438</v>
      </c>
      <c r="V48" t="s">
        <v>426</v>
      </c>
      <c r="W48">
        <v>36727</v>
      </c>
      <c r="X48">
        <v>35337</v>
      </c>
      <c r="Y48">
        <v>1390</v>
      </c>
      <c r="Z48">
        <v>4276</v>
      </c>
      <c r="AA48" t="s">
        <v>98</v>
      </c>
      <c r="AB48" s="4">
        <f t="shared" ca="1" si="0"/>
        <v>45880</v>
      </c>
      <c r="AC48" t="s">
        <v>71</v>
      </c>
      <c r="AD48" t="s">
        <v>121</v>
      </c>
      <c r="AE48">
        <v>3</v>
      </c>
      <c r="AF48">
        <v>71</v>
      </c>
      <c r="AG48">
        <v>88</v>
      </c>
      <c r="AH48" t="s">
        <v>73</v>
      </c>
      <c r="AI48">
        <v>71</v>
      </c>
      <c r="AJ48">
        <v>44</v>
      </c>
      <c r="AK48">
        <v>18</v>
      </c>
      <c r="AL48" t="s">
        <v>97</v>
      </c>
      <c r="AM48">
        <v>40</v>
      </c>
      <c r="AN48" t="s">
        <v>98</v>
      </c>
      <c r="AO48">
        <v>2</v>
      </c>
      <c r="AP48">
        <v>1</v>
      </c>
      <c r="AQ48" t="s">
        <v>307</v>
      </c>
      <c r="AR48" t="s">
        <v>351</v>
      </c>
      <c r="AS48" t="s">
        <v>70</v>
      </c>
      <c r="AT48" t="s">
        <v>177</v>
      </c>
      <c r="AU48" t="s">
        <v>160</v>
      </c>
      <c r="AV48" t="s">
        <v>147</v>
      </c>
      <c r="AX48" t="str">
        <f t="shared" si="1"/>
        <v>Aundh</v>
      </c>
    </row>
    <row r="49" spans="1:50" x14ac:dyDescent="0.25">
      <c r="A49" t="s">
        <v>148</v>
      </c>
      <c r="B49" t="s">
        <v>1368</v>
      </c>
      <c r="C49" t="s">
        <v>150</v>
      </c>
      <c r="D49" t="s">
        <v>52</v>
      </c>
      <c r="E49" t="s">
        <v>152</v>
      </c>
      <c r="F49" t="s">
        <v>153</v>
      </c>
      <c r="G49" t="s">
        <v>154</v>
      </c>
      <c r="H49" t="s">
        <v>1388</v>
      </c>
      <c r="I49">
        <v>95</v>
      </c>
      <c r="J49" t="s">
        <v>155</v>
      </c>
      <c r="K49" t="s">
        <v>59</v>
      </c>
      <c r="L49">
        <v>3</v>
      </c>
      <c r="M49" t="s">
        <v>60</v>
      </c>
      <c r="N49" t="s">
        <v>156</v>
      </c>
      <c r="O49" t="s">
        <v>100</v>
      </c>
      <c r="P49" t="s">
        <v>115</v>
      </c>
      <c r="Q49" t="s">
        <v>64</v>
      </c>
      <c r="R49" t="s">
        <v>140</v>
      </c>
      <c r="S49" t="s">
        <v>141</v>
      </c>
      <c r="T49" t="s">
        <v>118</v>
      </c>
      <c r="U49" t="s">
        <v>157</v>
      </c>
      <c r="V49" t="s">
        <v>157</v>
      </c>
      <c r="W49">
        <v>49463</v>
      </c>
      <c r="X49">
        <v>49078</v>
      </c>
      <c r="Y49">
        <v>385</v>
      </c>
      <c r="Z49">
        <v>1250</v>
      </c>
      <c r="AA49" t="s">
        <v>70</v>
      </c>
      <c r="AB49" s="4">
        <f t="shared" ca="1" si="0"/>
        <v>45982</v>
      </c>
      <c r="AC49" t="s">
        <v>71</v>
      </c>
      <c r="AD49" t="s">
        <v>121</v>
      </c>
      <c r="AE49">
        <v>5</v>
      </c>
      <c r="AF49">
        <v>86</v>
      </c>
      <c r="AG49">
        <v>96</v>
      </c>
      <c r="AH49" t="s">
        <v>73</v>
      </c>
      <c r="AI49">
        <v>80</v>
      </c>
      <c r="AJ49">
        <v>47</v>
      </c>
      <c r="AK49">
        <v>17</v>
      </c>
      <c r="AL49" t="s">
        <v>122</v>
      </c>
      <c r="AM49">
        <v>36</v>
      </c>
      <c r="AN49" t="s">
        <v>70</v>
      </c>
      <c r="AO49">
        <v>4</v>
      </c>
      <c r="AP49">
        <v>4</v>
      </c>
      <c r="AQ49" t="s">
        <v>158</v>
      </c>
      <c r="AR49" t="s">
        <v>159</v>
      </c>
      <c r="AS49" t="s">
        <v>98</v>
      </c>
      <c r="AT49" t="s">
        <v>125</v>
      </c>
      <c r="AU49" t="s">
        <v>160</v>
      </c>
      <c r="AV49" t="s">
        <v>78</v>
      </c>
      <c r="AW49" t="s">
        <v>79</v>
      </c>
      <c r="AX49" t="str">
        <f t="shared" si="1"/>
        <v>Aundh</v>
      </c>
    </row>
    <row r="50" spans="1:50" x14ac:dyDescent="0.25">
      <c r="A50" t="s">
        <v>542</v>
      </c>
      <c r="B50" t="s">
        <v>149</v>
      </c>
      <c r="C50" t="s">
        <v>543</v>
      </c>
      <c r="D50" t="s">
        <v>130</v>
      </c>
      <c r="E50" t="s">
        <v>545</v>
      </c>
      <c r="F50" t="s">
        <v>546</v>
      </c>
      <c r="G50" t="s">
        <v>547</v>
      </c>
      <c r="H50" t="s">
        <v>87</v>
      </c>
      <c r="I50">
        <v>84</v>
      </c>
      <c r="J50" t="s">
        <v>548</v>
      </c>
      <c r="K50" t="s">
        <v>242</v>
      </c>
      <c r="L50">
        <v>3</v>
      </c>
      <c r="M50" t="s">
        <v>60</v>
      </c>
      <c r="N50" t="s">
        <v>467</v>
      </c>
      <c r="O50" t="s">
        <v>549</v>
      </c>
      <c r="P50" t="s">
        <v>550</v>
      </c>
      <c r="Q50" t="s">
        <v>64</v>
      </c>
      <c r="R50" t="s">
        <v>65</v>
      </c>
      <c r="S50" t="s">
        <v>219</v>
      </c>
      <c r="T50" t="s">
        <v>67</v>
      </c>
      <c r="U50" t="s">
        <v>551</v>
      </c>
      <c r="V50" t="s">
        <v>467</v>
      </c>
      <c r="W50">
        <v>35441</v>
      </c>
      <c r="X50">
        <v>34902</v>
      </c>
      <c r="Y50">
        <v>539</v>
      </c>
      <c r="Z50">
        <v>3148</v>
      </c>
      <c r="AA50" t="s">
        <v>70</v>
      </c>
      <c r="AB50" s="4">
        <f t="shared" ca="1" si="0"/>
        <v>45925</v>
      </c>
      <c r="AC50" t="s">
        <v>71</v>
      </c>
      <c r="AD50" t="s">
        <v>95</v>
      </c>
      <c r="AE50">
        <v>5</v>
      </c>
      <c r="AF50">
        <v>62</v>
      </c>
      <c r="AG50">
        <v>71</v>
      </c>
      <c r="AH50" t="s">
        <v>234</v>
      </c>
      <c r="AI50">
        <v>91</v>
      </c>
      <c r="AJ50">
        <v>56</v>
      </c>
      <c r="AK50">
        <v>18</v>
      </c>
      <c r="AL50" t="s">
        <v>122</v>
      </c>
      <c r="AM50">
        <v>32</v>
      </c>
      <c r="AN50" t="s">
        <v>98</v>
      </c>
      <c r="AO50">
        <v>5</v>
      </c>
      <c r="AP50">
        <v>4</v>
      </c>
      <c r="AQ50" t="s">
        <v>68</v>
      </c>
      <c r="AR50" t="s">
        <v>99</v>
      </c>
      <c r="AS50" t="s">
        <v>70</v>
      </c>
      <c r="AT50" t="s">
        <v>287</v>
      </c>
      <c r="AU50" t="s">
        <v>126</v>
      </c>
      <c r="AV50" t="s">
        <v>147</v>
      </c>
      <c r="AX50" t="str">
        <f t="shared" si="1"/>
        <v>Aundh</v>
      </c>
    </row>
    <row r="51" spans="1:50" x14ac:dyDescent="0.25">
      <c r="A51" t="s">
        <v>606</v>
      </c>
      <c r="B51" t="s">
        <v>421</v>
      </c>
      <c r="C51" t="s">
        <v>607</v>
      </c>
      <c r="D51" t="s">
        <v>130</v>
      </c>
      <c r="E51" t="s">
        <v>608</v>
      </c>
      <c r="F51" t="s">
        <v>609</v>
      </c>
      <c r="G51" t="s">
        <v>610</v>
      </c>
      <c r="H51" t="s">
        <v>135</v>
      </c>
      <c r="I51">
        <v>61</v>
      </c>
      <c r="J51" t="s">
        <v>611</v>
      </c>
      <c r="K51" t="s">
        <v>169</v>
      </c>
      <c r="L51">
        <v>3</v>
      </c>
      <c r="M51" t="s">
        <v>89</v>
      </c>
      <c r="N51" t="s">
        <v>321</v>
      </c>
      <c r="O51" t="s">
        <v>415</v>
      </c>
      <c r="P51" t="s">
        <v>396</v>
      </c>
      <c r="Q51" t="s">
        <v>116</v>
      </c>
      <c r="R51" t="s">
        <v>140</v>
      </c>
      <c r="S51" t="s">
        <v>219</v>
      </c>
      <c r="T51" t="s">
        <v>67</v>
      </c>
      <c r="U51" t="s">
        <v>502</v>
      </c>
      <c r="V51" t="s">
        <v>174</v>
      </c>
      <c r="W51">
        <v>22307</v>
      </c>
      <c r="X51">
        <v>21738</v>
      </c>
      <c r="Y51">
        <v>569</v>
      </c>
      <c r="Z51">
        <v>659</v>
      </c>
      <c r="AA51" t="s">
        <v>70</v>
      </c>
      <c r="AB51" s="4">
        <f t="shared" ca="1" si="0"/>
        <v>45849</v>
      </c>
      <c r="AC51" t="s">
        <v>71</v>
      </c>
      <c r="AD51" t="s">
        <v>191</v>
      </c>
      <c r="AE51">
        <v>10</v>
      </c>
      <c r="AF51">
        <v>47</v>
      </c>
      <c r="AG51">
        <v>51</v>
      </c>
      <c r="AH51" t="s">
        <v>73</v>
      </c>
      <c r="AI51">
        <v>61</v>
      </c>
      <c r="AJ51">
        <v>57</v>
      </c>
      <c r="AK51">
        <v>16</v>
      </c>
      <c r="AM51">
        <v>28</v>
      </c>
      <c r="AN51" t="s">
        <v>70</v>
      </c>
      <c r="AO51">
        <v>3</v>
      </c>
      <c r="AP51">
        <v>2</v>
      </c>
      <c r="AQ51" t="s">
        <v>477</v>
      </c>
      <c r="AR51" t="s">
        <v>415</v>
      </c>
      <c r="AS51" t="s">
        <v>70</v>
      </c>
      <c r="AT51" t="s">
        <v>76</v>
      </c>
      <c r="AU51" t="s">
        <v>126</v>
      </c>
      <c r="AV51" t="s">
        <v>78</v>
      </c>
      <c r="AW51" t="s">
        <v>79</v>
      </c>
      <c r="AX51" t="str">
        <f t="shared" si="1"/>
        <v>Aundh</v>
      </c>
    </row>
    <row r="52" spans="1:50" x14ac:dyDescent="0.25">
      <c r="A52" t="s">
        <v>618</v>
      </c>
      <c r="B52" t="s">
        <v>1321</v>
      </c>
      <c r="C52" t="s">
        <v>619</v>
      </c>
      <c r="D52" t="s">
        <v>130</v>
      </c>
      <c r="E52" t="s">
        <v>620</v>
      </c>
      <c r="F52" t="s">
        <v>621</v>
      </c>
      <c r="G52" t="s">
        <v>622</v>
      </c>
      <c r="H52" t="s">
        <v>87</v>
      </c>
      <c r="I52">
        <v>75</v>
      </c>
      <c r="J52" t="s">
        <v>623</v>
      </c>
      <c r="K52" t="s">
        <v>242</v>
      </c>
      <c r="L52">
        <v>3</v>
      </c>
      <c r="M52" t="s">
        <v>60</v>
      </c>
      <c r="N52" t="s">
        <v>385</v>
      </c>
      <c r="O52" t="s">
        <v>624</v>
      </c>
      <c r="P52" t="s">
        <v>550</v>
      </c>
      <c r="Q52" t="s">
        <v>204</v>
      </c>
      <c r="R52" t="s">
        <v>140</v>
      </c>
      <c r="S52" t="s">
        <v>66</v>
      </c>
      <c r="T52" t="s">
        <v>118</v>
      </c>
      <c r="U52" t="s">
        <v>243</v>
      </c>
      <c r="V52" t="s">
        <v>551</v>
      </c>
      <c r="W52">
        <v>19153</v>
      </c>
      <c r="X52">
        <v>18645</v>
      </c>
      <c r="Y52">
        <v>508</v>
      </c>
      <c r="Z52">
        <v>533</v>
      </c>
      <c r="AA52" t="s">
        <v>70</v>
      </c>
      <c r="AC52" t="s">
        <v>71</v>
      </c>
      <c r="AD52" t="s">
        <v>191</v>
      </c>
      <c r="AE52">
        <v>4</v>
      </c>
      <c r="AF52">
        <v>80</v>
      </c>
      <c r="AG52">
        <v>85</v>
      </c>
      <c r="AH52" t="s">
        <v>96</v>
      </c>
      <c r="AI52">
        <v>87</v>
      </c>
      <c r="AJ52">
        <v>28</v>
      </c>
      <c r="AK52">
        <v>21</v>
      </c>
      <c r="AL52" t="s">
        <v>97</v>
      </c>
      <c r="AM52">
        <v>75</v>
      </c>
      <c r="AN52" t="s">
        <v>98</v>
      </c>
      <c r="AO52">
        <v>5</v>
      </c>
      <c r="AP52">
        <v>3</v>
      </c>
      <c r="AQ52" t="s">
        <v>567</v>
      </c>
      <c r="AR52" t="s">
        <v>373</v>
      </c>
      <c r="AS52" t="s">
        <v>70</v>
      </c>
      <c r="AT52" t="s">
        <v>76</v>
      </c>
      <c r="AU52" t="s">
        <v>77</v>
      </c>
      <c r="AV52" t="s">
        <v>147</v>
      </c>
      <c r="AX52" t="str">
        <f t="shared" si="1"/>
        <v>Kondhwa</v>
      </c>
    </row>
    <row r="53" spans="1:50" x14ac:dyDescent="0.25">
      <c r="A53" t="s">
        <v>625</v>
      </c>
      <c r="B53" t="s">
        <v>1369</v>
      </c>
      <c r="C53" t="s">
        <v>626</v>
      </c>
      <c r="D53" t="s">
        <v>52</v>
      </c>
      <c r="E53" t="s">
        <v>627</v>
      </c>
      <c r="F53" t="s">
        <v>628</v>
      </c>
      <c r="G53" t="s">
        <v>629</v>
      </c>
      <c r="H53" t="s">
        <v>135</v>
      </c>
      <c r="I53">
        <v>68</v>
      </c>
      <c r="J53" t="s">
        <v>630</v>
      </c>
      <c r="K53" t="s">
        <v>111</v>
      </c>
      <c r="L53">
        <v>6</v>
      </c>
      <c r="M53" t="s">
        <v>112</v>
      </c>
      <c r="N53" t="s">
        <v>631</v>
      </c>
      <c r="O53" t="s">
        <v>632</v>
      </c>
      <c r="P53" t="s">
        <v>297</v>
      </c>
      <c r="Q53" t="s">
        <v>204</v>
      </c>
      <c r="R53" t="s">
        <v>65</v>
      </c>
      <c r="S53" t="s">
        <v>232</v>
      </c>
      <c r="T53" t="s">
        <v>205</v>
      </c>
      <c r="U53" t="s">
        <v>263</v>
      </c>
      <c r="V53" t="s">
        <v>332</v>
      </c>
      <c r="W53">
        <v>37083</v>
      </c>
      <c r="X53">
        <v>35376</v>
      </c>
      <c r="Y53">
        <v>1707</v>
      </c>
      <c r="Z53">
        <v>1810</v>
      </c>
      <c r="AA53" t="s">
        <v>98</v>
      </c>
      <c r="AB53" t="s">
        <v>94</v>
      </c>
      <c r="AC53" t="s">
        <v>71</v>
      </c>
      <c r="AD53" t="s">
        <v>95</v>
      </c>
      <c r="AE53">
        <v>1</v>
      </c>
      <c r="AF53">
        <v>45</v>
      </c>
      <c r="AG53">
        <v>49</v>
      </c>
      <c r="AH53" t="s">
        <v>96</v>
      </c>
      <c r="AI53">
        <v>91</v>
      </c>
      <c r="AJ53">
        <v>32</v>
      </c>
      <c r="AK53">
        <v>24</v>
      </c>
      <c r="AM53">
        <v>75</v>
      </c>
      <c r="AN53" t="s">
        <v>98</v>
      </c>
      <c r="AO53">
        <v>5</v>
      </c>
      <c r="AP53">
        <v>5</v>
      </c>
      <c r="AQ53" t="s">
        <v>428</v>
      </c>
      <c r="AR53" t="s">
        <v>633</v>
      </c>
      <c r="AS53" t="s">
        <v>98</v>
      </c>
      <c r="AT53" t="s">
        <v>287</v>
      </c>
      <c r="AU53" t="s">
        <v>126</v>
      </c>
      <c r="AV53" t="s">
        <v>147</v>
      </c>
      <c r="AX53" t="str">
        <f t="shared" si="1"/>
        <v>Kondhwa</v>
      </c>
    </row>
    <row r="54" spans="1:50" x14ac:dyDescent="0.25">
      <c r="A54" t="s">
        <v>634</v>
      </c>
      <c r="B54" t="s">
        <v>1370</v>
      </c>
      <c r="C54" t="s">
        <v>635</v>
      </c>
      <c r="D54" t="s">
        <v>52</v>
      </c>
      <c r="E54" t="s">
        <v>636</v>
      </c>
      <c r="F54" t="s">
        <v>637</v>
      </c>
      <c r="G54" t="s">
        <v>638</v>
      </c>
      <c r="H54" t="s">
        <v>57</v>
      </c>
      <c r="I54">
        <v>71</v>
      </c>
      <c r="J54" t="s">
        <v>639</v>
      </c>
      <c r="K54" t="s">
        <v>294</v>
      </c>
      <c r="L54">
        <v>6</v>
      </c>
      <c r="M54" t="s">
        <v>89</v>
      </c>
      <c r="N54" t="s">
        <v>640</v>
      </c>
      <c r="O54" t="s">
        <v>641</v>
      </c>
      <c r="P54" t="s">
        <v>259</v>
      </c>
      <c r="Q54" t="s">
        <v>204</v>
      </c>
      <c r="R54" t="s">
        <v>140</v>
      </c>
      <c r="S54" t="s">
        <v>232</v>
      </c>
      <c r="T54" t="s">
        <v>273</v>
      </c>
      <c r="U54" t="s">
        <v>298</v>
      </c>
      <c r="V54" t="s">
        <v>298</v>
      </c>
      <c r="W54">
        <v>27152</v>
      </c>
      <c r="X54">
        <v>27006</v>
      </c>
      <c r="Y54">
        <v>146</v>
      </c>
      <c r="Z54">
        <v>201</v>
      </c>
      <c r="AA54" t="s">
        <v>98</v>
      </c>
      <c r="AB54" t="s">
        <v>208</v>
      </c>
      <c r="AC54" t="s">
        <v>71</v>
      </c>
      <c r="AD54" t="s">
        <v>191</v>
      </c>
      <c r="AE54">
        <v>7</v>
      </c>
      <c r="AF54">
        <v>67</v>
      </c>
      <c r="AG54">
        <v>83</v>
      </c>
      <c r="AH54" t="s">
        <v>96</v>
      </c>
      <c r="AI54">
        <v>70</v>
      </c>
      <c r="AJ54">
        <v>44</v>
      </c>
      <c r="AK54">
        <v>33</v>
      </c>
      <c r="AL54" t="s">
        <v>122</v>
      </c>
      <c r="AM54">
        <v>75</v>
      </c>
      <c r="AN54" t="s">
        <v>70</v>
      </c>
      <c r="AO54">
        <v>1</v>
      </c>
      <c r="AP54">
        <v>3</v>
      </c>
      <c r="AQ54" t="s">
        <v>440</v>
      </c>
      <c r="AR54" t="s">
        <v>119</v>
      </c>
      <c r="AS54" t="s">
        <v>98</v>
      </c>
      <c r="AT54" t="s">
        <v>125</v>
      </c>
      <c r="AU54" t="s">
        <v>77</v>
      </c>
      <c r="AV54" t="s">
        <v>147</v>
      </c>
      <c r="AX54" t="str">
        <f t="shared" si="1"/>
        <v>Kondhwa</v>
      </c>
    </row>
    <row r="55" spans="1:50" x14ac:dyDescent="0.25">
      <c r="A55" t="s">
        <v>642</v>
      </c>
      <c r="B55" t="s">
        <v>643</v>
      </c>
      <c r="C55" t="s">
        <v>644</v>
      </c>
      <c r="D55" t="s">
        <v>106</v>
      </c>
      <c r="E55" t="s">
        <v>645</v>
      </c>
      <c r="F55" t="s">
        <v>646</v>
      </c>
      <c r="G55" t="s">
        <v>647</v>
      </c>
      <c r="H55" t="s">
        <v>1393</v>
      </c>
      <c r="I55">
        <v>73</v>
      </c>
      <c r="J55" t="s">
        <v>648</v>
      </c>
      <c r="K55" t="s">
        <v>59</v>
      </c>
      <c r="L55">
        <v>12</v>
      </c>
      <c r="M55" t="s">
        <v>60</v>
      </c>
      <c r="N55" t="s">
        <v>649</v>
      </c>
      <c r="O55" t="s">
        <v>650</v>
      </c>
      <c r="P55" t="s">
        <v>320</v>
      </c>
      <c r="Q55" t="s">
        <v>116</v>
      </c>
      <c r="R55" t="s">
        <v>140</v>
      </c>
      <c r="S55" t="s">
        <v>141</v>
      </c>
      <c r="T55" t="s">
        <v>273</v>
      </c>
      <c r="U55" t="s">
        <v>157</v>
      </c>
      <c r="V55" t="s">
        <v>274</v>
      </c>
      <c r="W55">
        <v>43597</v>
      </c>
      <c r="X55">
        <v>42766</v>
      </c>
      <c r="Y55">
        <v>831</v>
      </c>
      <c r="Z55">
        <v>4331</v>
      </c>
      <c r="AA55" t="s">
        <v>70</v>
      </c>
      <c r="AC55" t="s">
        <v>71</v>
      </c>
      <c r="AD55" t="s">
        <v>72</v>
      </c>
      <c r="AE55">
        <v>3</v>
      </c>
      <c r="AF55">
        <v>80</v>
      </c>
      <c r="AG55">
        <v>89</v>
      </c>
      <c r="AH55" t="s">
        <v>96</v>
      </c>
      <c r="AI55">
        <v>65</v>
      </c>
      <c r="AJ55">
        <v>44</v>
      </c>
      <c r="AK55">
        <v>44</v>
      </c>
      <c r="AL55" t="s">
        <v>97</v>
      </c>
      <c r="AM55">
        <v>100</v>
      </c>
      <c r="AN55" t="s">
        <v>70</v>
      </c>
      <c r="AO55">
        <v>4</v>
      </c>
      <c r="AP55">
        <v>4</v>
      </c>
      <c r="AQ55" t="s">
        <v>209</v>
      </c>
      <c r="AR55" t="s">
        <v>477</v>
      </c>
      <c r="AS55" t="s">
        <v>98</v>
      </c>
      <c r="AT55" t="s">
        <v>125</v>
      </c>
      <c r="AU55" t="s">
        <v>160</v>
      </c>
      <c r="AV55" t="s">
        <v>78</v>
      </c>
      <c r="AW55" t="s">
        <v>102</v>
      </c>
      <c r="AX55" t="str">
        <f t="shared" si="1"/>
        <v>Kondhwa</v>
      </c>
    </row>
    <row r="56" spans="1:50" x14ac:dyDescent="0.25">
      <c r="A56" t="s">
        <v>651</v>
      </c>
      <c r="B56" t="s">
        <v>53</v>
      </c>
      <c r="C56" t="s">
        <v>652</v>
      </c>
      <c r="D56" t="s">
        <v>52</v>
      </c>
      <c r="E56" t="s">
        <v>653</v>
      </c>
      <c r="F56" t="s">
        <v>654</v>
      </c>
      <c r="G56" t="s">
        <v>655</v>
      </c>
      <c r="H56" t="s">
        <v>1393</v>
      </c>
      <c r="I56">
        <v>83</v>
      </c>
      <c r="J56" t="s">
        <v>656</v>
      </c>
      <c r="K56" t="s">
        <v>169</v>
      </c>
      <c r="L56">
        <v>12</v>
      </c>
      <c r="M56" t="s">
        <v>89</v>
      </c>
      <c r="N56" t="s">
        <v>640</v>
      </c>
      <c r="O56" t="s">
        <v>657</v>
      </c>
      <c r="P56" t="s">
        <v>331</v>
      </c>
      <c r="Q56" t="s">
        <v>64</v>
      </c>
      <c r="R56" t="s">
        <v>140</v>
      </c>
      <c r="S56" t="s">
        <v>232</v>
      </c>
      <c r="T56" t="s">
        <v>67</v>
      </c>
      <c r="U56" t="s">
        <v>170</v>
      </c>
      <c r="V56" t="s">
        <v>372</v>
      </c>
      <c r="W56">
        <v>40999</v>
      </c>
      <c r="X56">
        <v>40345</v>
      </c>
      <c r="Y56">
        <v>654</v>
      </c>
      <c r="Z56">
        <v>737</v>
      </c>
      <c r="AA56" t="s">
        <v>98</v>
      </c>
      <c r="AB56" t="s">
        <v>307</v>
      </c>
      <c r="AC56" t="s">
        <v>71</v>
      </c>
      <c r="AD56" t="s">
        <v>191</v>
      </c>
      <c r="AE56">
        <v>4</v>
      </c>
      <c r="AF56">
        <v>65</v>
      </c>
      <c r="AG56">
        <v>67</v>
      </c>
      <c r="AH56" t="s">
        <v>96</v>
      </c>
      <c r="AI56">
        <v>71</v>
      </c>
      <c r="AJ56">
        <v>20</v>
      </c>
      <c r="AK56">
        <v>20</v>
      </c>
      <c r="AM56">
        <v>100</v>
      </c>
      <c r="AN56" t="s">
        <v>98</v>
      </c>
      <c r="AO56">
        <v>5</v>
      </c>
      <c r="AP56">
        <v>5</v>
      </c>
      <c r="AQ56" t="s">
        <v>341</v>
      </c>
      <c r="AR56" t="s">
        <v>658</v>
      </c>
      <c r="AS56" t="s">
        <v>70</v>
      </c>
      <c r="AT56" t="s">
        <v>76</v>
      </c>
      <c r="AU56" t="s">
        <v>126</v>
      </c>
      <c r="AV56" t="s">
        <v>147</v>
      </c>
      <c r="AX56" t="str">
        <f t="shared" si="1"/>
        <v>Kondhwa</v>
      </c>
    </row>
    <row r="57" spans="1:50" x14ac:dyDescent="0.25">
      <c r="A57" t="s">
        <v>659</v>
      </c>
      <c r="B57" t="s">
        <v>1371</v>
      </c>
      <c r="C57" t="s">
        <v>660</v>
      </c>
      <c r="D57" t="s">
        <v>130</v>
      </c>
      <c r="E57" t="s">
        <v>661</v>
      </c>
      <c r="F57" t="s">
        <v>662</v>
      </c>
      <c r="G57" t="s">
        <v>663</v>
      </c>
      <c r="H57" t="s">
        <v>87</v>
      </c>
      <c r="I57">
        <v>84</v>
      </c>
      <c r="J57" t="s">
        <v>664</v>
      </c>
      <c r="K57" t="s">
        <v>111</v>
      </c>
      <c r="L57">
        <v>6</v>
      </c>
      <c r="M57" t="s">
        <v>60</v>
      </c>
      <c r="N57" t="s">
        <v>466</v>
      </c>
      <c r="O57" t="s">
        <v>665</v>
      </c>
      <c r="P57" t="s">
        <v>371</v>
      </c>
      <c r="Q57" t="s">
        <v>116</v>
      </c>
      <c r="R57" t="s">
        <v>65</v>
      </c>
      <c r="S57" t="s">
        <v>141</v>
      </c>
      <c r="T57" t="s">
        <v>205</v>
      </c>
      <c r="U57" t="s">
        <v>439</v>
      </c>
      <c r="V57" t="s">
        <v>186</v>
      </c>
      <c r="W57">
        <v>43066</v>
      </c>
      <c r="X57">
        <v>41360</v>
      </c>
      <c r="Y57">
        <v>1706</v>
      </c>
      <c r="Z57">
        <v>4896</v>
      </c>
      <c r="AA57" t="s">
        <v>98</v>
      </c>
      <c r="AB57" t="s">
        <v>332</v>
      </c>
      <c r="AC57" t="s">
        <v>71</v>
      </c>
      <c r="AD57" t="s">
        <v>72</v>
      </c>
      <c r="AE57">
        <v>8</v>
      </c>
      <c r="AF57">
        <v>70</v>
      </c>
      <c r="AG57">
        <v>83</v>
      </c>
      <c r="AH57" t="s">
        <v>96</v>
      </c>
      <c r="AI57">
        <v>76</v>
      </c>
      <c r="AJ57">
        <v>60</v>
      </c>
      <c r="AK57">
        <v>37</v>
      </c>
      <c r="AL57" t="s">
        <v>97</v>
      </c>
      <c r="AM57">
        <v>61</v>
      </c>
      <c r="AN57" t="s">
        <v>98</v>
      </c>
      <c r="AO57">
        <v>2</v>
      </c>
      <c r="AP57">
        <v>3</v>
      </c>
      <c r="AQ57" t="s">
        <v>666</v>
      </c>
      <c r="AR57" t="s">
        <v>94</v>
      </c>
      <c r="AS57" t="s">
        <v>98</v>
      </c>
      <c r="AT57" t="s">
        <v>287</v>
      </c>
      <c r="AU57" t="s">
        <v>77</v>
      </c>
      <c r="AV57" t="s">
        <v>147</v>
      </c>
      <c r="AX57" t="str">
        <f t="shared" si="1"/>
        <v>Kondhwa</v>
      </c>
    </row>
    <row r="58" spans="1:50" x14ac:dyDescent="0.25">
      <c r="A58" t="s">
        <v>667</v>
      </c>
      <c r="B58" t="s">
        <v>1372</v>
      </c>
      <c r="C58" t="s">
        <v>668</v>
      </c>
      <c r="D58" t="s">
        <v>106</v>
      </c>
      <c r="E58" t="s">
        <v>669</v>
      </c>
      <c r="F58" t="s">
        <v>670</v>
      </c>
      <c r="G58" t="s">
        <v>671</v>
      </c>
      <c r="H58" t="s">
        <v>135</v>
      </c>
      <c r="I58">
        <v>82</v>
      </c>
      <c r="J58" t="s">
        <v>672</v>
      </c>
      <c r="K58" t="s">
        <v>242</v>
      </c>
      <c r="L58">
        <v>3</v>
      </c>
      <c r="M58" t="s">
        <v>89</v>
      </c>
      <c r="N58" t="s">
        <v>640</v>
      </c>
      <c r="O58" t="s">
        <v>397</v>
      </c>
      <c r="P58" t="s">
        <v>115</v>
      </c>
      <c r="Q58" t="s">
        <v>64</v>
      </c>
      <c r="R58" t="s">
        <v>140</v>
      </c>
      <c r="S58" t="s">
        <v>117</v>
      </c>
      <c r="T58" t="s">
        <v>118</v>
      </c>
      <c r="U58" t="s">
        <v>260</v>
      </c>
      <c r="V58" t="s">
        <v>260</v>
      </c>
      <c r="W58">
        <v>36223</v>
      </c>
      <c r="X58">
        <v>34524</v>
      </c>
      <c r="Y58">
        <v>1699</v>
      </c>
      <c r="Z58">
        <v>2380</v>
      </c>
      <c r="AA58" t="s">
        <v>70</v>
      </c>
      <c r="AC58" t="s">
        <v>71</v>
      </c>
      <c r="AD58" t="s">
        <v>72</v>
      </c>
      <c r="AE58">
        <v>7</v>
      </c>
      <c r="AF58">
        <v>71</v>
      </c>
      <c r="AG58">
        <v>97</v>
      </c>
      <c r="AH58" t="s">
        <v>234</v>
      </c>
      <c r="AI58">
        <v>97</v>
      </c>
      <c r="AJ58">
        <v>56</v>
      </c>
      <c r="AK58">
        <v>35</v>
      </c>
      <c r="AL58" t="s">
        <v>97</v>
      </c>
      <c r="AM58">
        <v>62</v>
      </c>
      <c r="AN58" t="s">
        <v>98</v>
      </c>
      <c r="AO58">
        <v>3</v>
      </c>
      <c r="AP58">
        <v>1</v>
      </c>
      <c r="AQ58" t="s">
        <v>467</v>
      </c>
      <c r="AR58" t="s">
        <v>286</v>
      </c>
      <c r="AS58" t="s">
        <v>98</v>
      </c>
      <c r="AT58" t="s">
        <v>177</v>
      </c>
      <c r="AU58" t="s">
        <v>126</v>
      </c>
      <c r="AV58" t="s">
        <v>147</v>
      </c>
      <c r="AX58" t="str">
        <f t="shared" si="1"/>
        <v>Kondhwa</v>
      </c>
    </row>
    <row r="59" spans="1:50" x14ac:dyDescent="0.25">
      <c r="A59" t="s">
        <v>673</v>
      </c>
      <c r="B59" t="s">
        <v>267</v>
      </c>
      <c r="C59" t="s">
        <v>674</v>
      </c>
      <c r="D59" t="s">
        <v>106</v>
      </c>
      <c r="E59" t="s">
        <v>675</v>
      </c>
      <c r="F59" t="s">
        <v>676</v>
      </c>
      <c r="G59" t="s">
        <v>677</v>
      </c>
      <c r="H59" t="s">
        <v>135</v>
      </c>
      <c r="I59">
        <v>75</v>
      </c>
      <c r="J59" t="s">
        <v>678</v>
      </c>
      <c r="K59" t="s">
        <v>294</v>
      </c>
      <c r="L59">
        <v>6</v>
      </c>
      <c r="M59" t="s">
        <v>112</v>
      </c>
      <c r="N59" t="s">
        <v>246</v>
      </c>
      <c r="O59" t="s">
        <v>679</v>
      </c>
      <c r="P59" t="s">
        <v>285</v>
      </c>
      <c r="Q59" t="s">
        <v>64</v>
      </c>
      <c r="R59" t="s">
        <v>140</v>
      </c>
      <c r="S59" t="s">
        <v>232</v>
      </c>
      <c r="T59" t="s">
        <v>118</v>
      </c>
      <c r="U59" t="s">
        <v>386</v>
      </c>
      <c r="V59" t="s">
        <v>229</v>
      </c>
      <c r="W59">
        <v>32353</v>
      </c>
      <c r="X59">
        <v>29995</v>
      </c>
      <c r="Y59">
        <v>2358</v>
      </c>
      <c r="Z59">
        <v>2960</v>
      </c>
      <c r="AA59" t="s">
        <v>98</v>
      </c>
      <c r="AB59" t="s">
        <v>68</v>
      </c>
      <c r="AC59" t="s">
        <v>71</v>
      </c>
      <c r="AD59" t="s">
        <v>72</v>
      </c>
      <c r="AE59">
        <v>3</v>
      </c>
      <c r="AF59">
        <v>54</v>
      </c>
      <c r="AG59">
        <v>69</v>
      </c>
      <c r="AH59" t="s">
        <v>234</v>
      </c>
      <c r="AI59">
        <v>65</v>
      </c>
      <c r="AJ59">
        <v>53</v>
      </c>
      <c r="AK59">
        <v>33</v>
      </c>
      <c r="AL59" t="s">
        <v>122</v>
      </c>
      <c r="AM59">
        <v>62</v>
      </c>
      <c r="AN59" t="s">
        <v>70</v>
      </c>
      <c r="AO59">
        <v>5</v>
      </c>
      <c r="AP59">
        <v>1</v>
      </c>
      <c r="AQ59" t="s">
        <v>397</v>
      </c>
      <c r="AR59" t="s">
        <v>144</v>
      </c>
      <c r="AS59" t="s">
        <v>70</v>
      </c>
      <c r="AT59" t="s">
        <v>76</v>
      </c>
      <c r="AU59" t="s">
        <v>160</v>
      </c>
      <c r="AV59" t="s">
        <v>147</v>
      </c>
      <c r="AX59" t="str">
        <f t="shared" si="1"/>
        <v>Kondhwa</v>
      </c>
    </row>
    <row r="60" spans="1:50" x14ac:dyDescent="0.25">
      <c r="A60" t="s">
        <v>680</v>
      </c>
      <c r="B60" t="s">
        <v>460</v>
      </c>
      <c r="C60" t="s">
        <v>681</v>
      </c>
      <c r="D60" t="s">
        <v>106</v>
      </c>
      <c r="E60" t="s">
        <v>682</v>
      </c>
      <c r="F60" t="s">
        <v>683</v>
      </c>
      <c r="G60" t="s">
        <v>684</v>
      </c>
      <c r="H60" t="s">
        <v>87</v>
      </c>
      <c r="I60">
        <v>63</v>
      </c>
      <c r="J60" t="s">
        <v>685</v>
      </c>
      <c r="K60" t="s">
        <v>59</v>
      </c>
      <c r="L60">
        <v>3</v>
      </c>
      <c r="M60" t="s">
        <v>60</v>
      </c>
      <c r="N60" t="s">
        <v>598</v>
      </c>
      <c r="O60" t="s">
        <v>686</v>
      </c>
      <c r="P60" t="s">
        <v>371</v>
      </c>
      <c r="Q60" t="s">
        <v>116</v>
      </c>
      <c r="R60" t="s">
        <v>65</v>
      </c>
      <c r="S60" t="s">
        <v>219</v>
      </c>
      <c r="T60" t="s">
        <v>118</v>
      </c>
      <c r="U60" t="s">
        <v>502</v>
      </c>
      <c r="V60" t="s">
        <v>208</v>
      </c>
      <c r="W60">
        <v>21182</v>
      </c>
      <c r="X60">
        <v>19925</v>
      </c>
      <c r="Y60">
        <v>1257</v>
      </c>
      <c r="Z60">
        <v>3889</v>
      </c>
      <c r="AA60" t="s">
        <v>70</v>
      </c>
      <c r="AC60" t="s">
        <v>71</v>
      </c>
      <c r="AD60" t="s">
        <v>191</v>
      </c>
      <c r="AE60">
        <v>10</v>
      </c>
      <c r="AF60">
        <v>82</v>
      </c>
      <c r="AG60">
        <v>98</v>
      </c>
      <c r="AH60" t="s">
        <v>73</v>
      </c>
      <c r="AI60">
        <v>86</v>
      </c>
      <c r="AJ60">
        <v>35</v>
      </c>
      <c r="AK60">
        <v>32</v>
      </c>
      <c r="AL60" t="s">
        <v>97</v>
      </c>
      <c r="AM60">
        <v>91</v>
      </c>
      <c r="AN60" t="s">
        <v>98</v>
      </c>
      <c r="AO60">
        <v>2</v>
      </c>
      <c r="AP60">
        <v>4</v>
      </c>
      <c r="AQ60" t="s">
        <v>235</v>
      </c>
      <c r="AR60" t="s">
        <v>687</v>
      </c>
      <c r="AS60" t="s">
        <v>98</v>
      </c>
      <c r="AT60" t="s">
        <v>287</v>
      </c>
      <c r="AU60" t="s">
        <v>160</v>
      </c>
      <c r="AV60" t="s">
        <v>78</v>
      </c>
      <c r="AW60" t="s">
        <v>276</v>
      </c>
      <c r="AX60" t="str">
        <f t="shared" si="1"/>
        <v>Kondhwa</v>
      </c>
    </row>
    <row r="61" spans="1:50" x14ac:dyDescent="0.25">
      <c r="A61" t="s">
        <v>688</v>
      </c>
      <c r="B61" t="s">
        <v>128</v>
      </c>
      <c r="C61" t="s">
        <v>689</v>
      </c>
      <c r="D61" t="s">
        <v>52</v>
      </c>
      <c r="E61" t="s">
        <v>690</v>
      </c>
      <c r="F61" t="s">
        <v>691</v>
      </c>
      <c r="G61" t="s">
        <v>692</v>
      </c>
      <c r="H61" t="s">
        <v>87</v>
      </c>
      <c r="I61">
        <v>92</v>
      </c>
      <c r="J61" t="s">
        <v>693</v>
      </c>
      <c r="K61" t="s">
        <v>169</v>
      </c>
      <c r="L61">
        <v>6</v>
      </c>
      <c r="M61" t="s">
        <v>112</v>
      </c>
      <c r="N61" t="s">
        <v>694</v>
      </c>
      <c r="O61" t="s">
        <v>695</v>
      </c>
      <c r="P61" t="s">
        <v>285</v>
      </c>
      <c r="Q61" t="s">
        <v>116</v>
      </c>
      <c r="R61" t="s">
        <v>65</v>
      </c>
      <c r="S61" t="s">
        <v>219</v>
      </c>
      <c r="T61" t="s">
        <v>142</v>
      </c>
      <c r="U61" t="s">
        <v>143</v>
      </c>
      <c r="V61" t="s">
        <v>696</v>
      </c>
      <c r="W61">
        <v>40487</v>
      </c>
      <c r="X61">
        <v>40461</v>
      </c>
      <c r="Y61">
        <v>26</v>
      </c>
      <c r="Z61">
        <v>2041</v>
      </c>
      <c r="AA61" t="s">
        <v>70</v>
      </c>
      <c r="AC61" t="s">
        <v>71</v>
      </c>
      <c r="AD61" t="s">
        <v>191</v>
      </c>
      <c r="AE61">
        <v>5</v>
      </c>
      <c r="AF61">
        <v>84</v>
      </c>
      <c r="AG61">
        <v>88</v>
      </c>
      <c r="AH61" t="s">
        <v>73</v>
      </c>
      <c r="AI61">
        <v>80</v>
      </c>
      <c r="AJ61">
        <v>38</v>
      </c>
      <c r="AK61">
        <v>30</v>
      </c>
      <c r="AL61" t="s">
        <v>97</v>
      </c>
      <c r="AM61">
        <v>78</v>
      </c>
      <c r="AN61" t="s">
        <v>70</v>
      </c>
      <c r="AO61">
        <v>4</v>
      </c>
      <c r="AP61">
        <v>1</v>
      </c>
      <c r="AQ61" t="s">
        <v>697</v>
      </c>
      <c r="AR61" t="s">
        <v>192</v>
      </c>
      <c r="AS61" t="s">
        <v>70</v>
      </c>
      <c r="AT61" t="s">
        <v>76</v>
      </c>
      <c r="AU61" t="s">
        <v>77</v>
      </c>
      <c r="AV61" t="s">
        <v>78</v>
      </c>
      <c r="AW61" t="s">
        <v>79</v>
      </c>
      <c r="AX61" t="str">
        <f t="shared" si="1"/>
        <v>Kondhwa</v>
      </c>
    </row>
    <row r="62" spans="1:50" x14ac:dyDescent="0.25">
      <c r="A62" t="s">
        <v>698</v>
      </c>
      <c r="B62" t="s">
        <v>1373</v>
      </c>
      <c r="C62" t="s">
        <v>699</v>
      </c>
      <c r="D62" t="s">
        <v>106</v>
      </c>
      <c r="E62" t="s">
        <v>701</v>
      </c>
      <c r="F62" t="s">
        <v>702</v>
      </c>
      <c r="G62" t="s">
        <v>703</v>
      </c>
      <c r="H62" t="s">
        <v>1393</v>
      </c>
      <c r="I62">
        <v>71</v>
      </c>
      <c r="J62" t="s">
        <v>704</v>
      </c>
      <c r="K62" t="s">
        <v>169</v>
      </c>
      <c r="L62">
        <v>3</v>
      </c>
      <c r="M62" t="s">
        <v>89</v>
      </c>
      <c r="N62" t="s">
        <v>705</v>
      </c>
      <c r="O62" t="s">
        <v>341</v>
      </c>
      <c r="P62" t="s">
        <v>371</v>
      </c>
      <c r="Q62" t="s">
        <v>64</v>
      </c>
      <c r="R62" t="s">
        <v>65</v>
      </c>
      <c r="S62" t="s">
        <v>141</v>
      </c>
      <c r="T62" t="s">
        <v>142</v>
      </c>
      <c r="U62" t="s">
        <v>382</v>
      </c>
      <c r="V62" t="s">
        <v>706</v>
      </c>
      <c r="W62">
        <v>29023</v>
      </c>
      <c r="X62">
        <v>28414</v>
      </c>
      <c r="Y62">
        <v>609</v>
      </c>
      <c r="Z62">
        <v>1370</v>
      </c>
      <c r="AA62" t="s">
        <v>70</v>
      </c>
      <c r="AC62" t="s">
        <v>71</v>
      </c>
      <c r="AD62" t="s">
        <v>95</v>
      </c>
      <c r="AE62">
        <v>6</v>
      </c>
      <c r="AF62">
        <v>87</v>
      </c>
      <c r="AG62">
        <v>92</v>
      </c>
      <c r="AH62" t="s">
        <v>96</v>
      </c>
      <c r="AI62">
        <v>98</v>
      </c>
      <c r="AJ62">
        <v>24</v>
      </c>
      <c r="AK62">
        <v>22</v>
      </c>
      <c r="AL62" t="s">
        <v>122</v>
      </c>
      <c r="AM62">
        <v>91</v>
      </c>
      <c r="AN62" t="s">
        <v>98</v>
      </c>
      <c r="AO62">
        <v>1</v>
      </c>
      <c r="AP62">
        <v>5</v>
      </c>
      <c r="AQ62" t="s">
        <v>68</v>
      </c>
      <c r="AR62" t="s">
        <v>189</v>
      </c>
      <c r="AS62" t="s">
        <v>98</v>
      </c>
      <c r="AT62" t="s">
        <v>101</v>
      </c>
      <c r="AU62" t="s">
        <v>160</v>
      </c>
      <c r="AV62" t="s">
        <v>147</v>
      </c>
      <c r="AX62" t="str">
        <f t="shared" si="1"/>
        <v>Kondhwa</v>
      </c>
    </row>
    <row r="63" spans="1:50" x14ac:dyDescent="0.25">
      <c r="A63" t="s">
        <v>707</v>
      </c>
      <c r="B63" t="s">
        <v>1374</v>
      </c>
      <c r="C63" t="s">
        <v>708</v>
      </c>
      <c r="D63" t="s">
        <v>106</v>
      </c>
      <c r="E63" t="s">
        <v>709</v>
      </c>
      <c r="F63" t="s">
        <v>710</v>
      </c>
      <c r="G63" t="s">
        <v>711</v>
      </c>
      <c r="H63" t="s">
        <v>1392</v>
      </c>
      <c r="I63">
        <v>80</v>
      </c>
      <c r="J63" t="s">
        <v>712</v>
      </c>
      <c r="K63" t="s">
        <v>294</v>
      </c>
      <c r="L63">
        <v>12</v>
      </c>
      <c r="M63" t="s">
        <v>89</v>
      </c>
      <c r="N63" t="s">
        <v>382</v>
      </c>
      <c r="O63" t="s">
        <v>713</v>
      </c>
      <c r="P63" t="s">
        <v>203</v>
      </c>
      <c r="Q63" t="s">
        <v>116</v>
      </c>
      <c r="R63" t="s">
        <v>65</v>
      </c>
      <c r="S63" t="s">
        <v>219</v>
      </c>
      <c r="T63" t="s">
        <v>273</v>
      </c>
      <c r="U63" t="s">
        <v>274</v>
      </c>
      <c r="V63" t="s">
        <v>714</v>
      </c>
      <c r="W63">
        <v>49929</v>
      </c>
      <c r="X63">
        <v>49526</v>
      </c>
      <c r="Y63">
        <v>403</v>
      </c>
      <c r="Z63">
        <v>3120</v>
      </c>
      <c r="AA63" t="s">
        <v>70</v>
      </c>
      <c r="AC63" t="s">
        <v>71</v>
      </c>
      <c r="AD63" t="s">
        <v>72</v>
      </c>
      <c r="AE63">
        <v>6</v>
      </c>
      <c r="AF63">
        <v>78</v>
      </c>
      <c r="AG63">
        <v>94</v>
      </c>
      <c r="AH63" t="s">
        <v>234</v>
      </c>
      <c r="AI63">
        <v>61</v>
      </c>
      <c r="AJ63">
        <v>45</v>
      </c>
      <c r="AK63">
        <v>17</v>
      </c>
      <c r="AL63" t="s">
        <v>122</v>
      </c>
      <c r="AM63">
        <v>37</v>
      </c>
      <c r="AN63" t="s">
        <v>70</v>
      </c>
      <c r="AO63">
        <v>5</v>
      </c>
      <c r="AP63">
        <v>4</v>
      </c>
      <c r="AQ63" t="s">
        <v>566</v>
      </c>
      <c r="AR63" t="s">
        <v>362</v>
      </c>
      <c r="AS63" t="s">
        <v>98</v>
      </c>
      <c r="AT63" t="s">
        <v>101</v>
      </c>
      <c r="AU63" t="s">
        <v>77</v>
      </c>
      <c r="AV63" t="s">
        <v>78</v>
      </c>
      <c r="AW63" t="s">
        <v>276</v>
      </c>
      <c r="AX63" t="str">
        <f t="shared" si="1"/>
        <v>Kondhwa</v>
      </c>
    </row>
    <row r="64" spans="1:50" x14ac:dyDescent="0.25">
      <c r="A64" t="s">
        <v>715</v>
      </c>
      <c r="B64" t="s">
        <v>486</v>
      </c>
      <c r="C64" t="s">
        <v>716</v>
      </c>
      <c r="D64" t="s">
        <v>52</v>
      </c>
      <c r="E64" t="s">
        <v>717</v>
      </c>
      <c r="F64" t="s">
        <v>718</v>
      </c>
      <c r="G64" t="s">
        <v>719</v>
      </c>
      <c r="H64" t="s">
        <v>87</v>
      </c>
      <c r="I64">
        <v>88</v>
      </c>
      <c r="J64" t="s">
        <v>720</v>
      </c>
      <c r="K64" t="s">
        <v>242</v>
      </c>
      <c r="L64">
        <v>6</v>
      </c>
      <c r="M64" t="s">
        <v>112</v>
      </c>
      <c r="N64" t="s">
        <v>535</v>
      </c>
      <c r="O64" t="s">
        <v>721</v>
      </c>
      <c r="P64" t="s">
        <v>92</v>
      </c>
      <c r="Q64" t="s">
        <v>204</v>
      </c>
      <c r="R64" t="s">
        <v>140</v>
      </c>
      <c r="S64" t="s">
        <v>66</v>
      </c>
      <c r="T64" t="s">
        <v>273</v>
      </c>
      <c r="U64" t="s">
        <v>217</v>
      </c>
      <c r="V64" t="s">
        <v>262</v>
      </c>
      <c r="W64">
        <v>24675</v>
      </c>
      <c r="X64">
        <v>23682</v>
      </c>
      <c r="Y64">
        <v>993</v>
      </c>
      <c r="Z64">
        <v>4194</v>
      </c>
      <c r="AA64" t="s">
        <v>98</v>
      </c>
      <c r="AB64" t="s">
        <v>275</v>
      </c>
      <c r="AC64" t="s">
        <v>71</v>
      </c>
      <c r="AD64" t="s">
        <v>72</v>
      </c>
      <c r="AE64">
        <v>10</v>
      </c>
      <c r="AF64">
        <v>87</v>
      </c>
      <c r="AG64">
        <v>90</v>
      </c>
      <c r="AH64" t="s">
        <v>234</v>
      </c>
      <c r="AI64">
        <v>91</v>
      </c>
      <c r="AJ64">
        <v>36</v>
      </c>
      <c r="AK64">
        <v>15</v>
      </c>
      <c r="AM64">
        <v>41</v>
      </c>
      <c r="AN64" t="s">
        <v>70</v>
      </c>
      <c r="AO64">
        <v>5</v>
      </c>
      <c r="AP64">
        <v>3</v>
      </c>
      <c r="AQ64" t="s">
        <v>68</v>
      </c>
      <c r="AR64" t="s">
        <v>352</v>
      </c>
      <c r="AS64" t="s">
        <v>70</v>
      </c>
      <c r="AT64" t="s">
        <v>177</v>
      </c>
      <c r="AU64" t="s">
        <v>77</v>
      </c>
      <c r="AV64" t="s">
        <v>147</v>
      </c>
      <c r="AX64" t="str">
        <f t="shared" si="1"/>
        <v>Kondhwa</v>
      </c>
    </row>
    <row r="65" spans="1:50" x14ac:dyDescent="0.25">
      <c r="A65" t="s">
        <v>722</v>
      </c>
      <c r="B65" t="s">
        <v>1375</v>
      </c>
      <c r="C65" t="s">
        <v>723</v>
      </c>
      <c r="D65" t="s">
        <v>106</v>
      </c>
      <c r="E65" t="s">
        <v>724</v>
      </c>
      <c r="F65" t="s">
        <v>281</v>
      </c>
      <c r="G65" t="s">
        <v>725</v>
      </c>
      <c r="H65" t="s">
        <v>57</v>
      </c>
      <c r="I65">
        <v>85</v>
      </c>
      <c r="J65" t="s">
        <v>726</v>
      </c>
      <c r="K65" t="s">
        <v>59</v>
      </c>
      <c r="L65">
        <v>3</v>
      </c>
      <c r="M65" t="s">
        <v>60</v>
      </c>
      <c r="N65" t="s">
        <v>261</v>
      </c>
      <c r="O65" t="s">
        <v>727</v>
      </c>
      <c r="P65" t="s">
        <v>396</v>
      </c>
      <c r="Q65" t="s">
        <v>64</v>
      </c>
      <c r="R65" t="s">
        <v>140</v>
      </c>
      <c r="S65" t="s">
        <v>232</v>
      </c>
      <c r="T65" t="s">
        <v>205</v>
      </c>
      <c r="U65" t="s">
        <v>309</v>
      </c>
      <c r="V65" t="s">
        <v>309</v>
      </c>
      <c r="W65">
        <v>45065</v>
      </c>
      <c r="X65">
        <v>40719</v>
      </c>
      <c r="Y65">
        <v>4346</v>
      </c>
      <c r="Z65">
        <v>4930</v>
      </c>
      <c r="AA65" t="s">
        <v>98</v>
      </c>
      <c r="AB65" t="s">
        <v>728</v>
      </c>
      <c r="AC65" t="s">
        <v>71</v>
      </c>
      <c r="AD65" t="s">
        <v>121</v>
      </c>
      <c r="AE65">
        <v>7</v>
      </c>
      <c r="AF65">
        <v>76</v>
      </c>
      <c r="AG65">
        <v>99</v>
      </c>
      <c r="AH65" t="s">
        <v>73</v>
      </c>
      <c r="AI65">
        <v>63</v>
      </c>
      <c r="AJ65">
        <v>51</v>
      </c>
      <c r="AK65">
        <v>20</v>
      </c>
      <c r="AM65">
        <v>100</v>
      </c>
      <c r="AN65" t="s">
        <v>98</v>
      </c>
      <c r="AO65">
        <v>3</v>
      </c>
      <c r="AP65">
        <v>5</v>
      </c>
      <c r="AQ65" t="s">
        <v>729</v>
      </c>
      <c r="AR65" t="s">
        <v>730</v>
      </c>
      <c r="AS65" t="s">
        <v>98</v>
      </c>
      <c r="AT65" t="s">
        <v>125</v>
      </c>
      <c r="AU65" t="s">
        <v>126</v>
      </c>
      <c r="AV65" t="s">
        <v>147</v>
      </c>
      <c r="AX65" t="str">
        <f t="shared" si="1"/>
        <v>Kondhwa</v>
      </c>
    </row>
    <row r="66" spans="1:50" x14ac:dyDescent="0.25">
      <c r="A66" t="s">
        <v>731</v>
      </c>
      <c r="B66" t="s">
        <v>1376</v>
      </c>
      <c r="C66" t="s">
        <v>732</v>
      </c>
      <c r="D66" t="s">
        <v>106</v>
      </c>
      <c r="E66" t="s">
        <v>733</v>
      </c>
      <c r="F66" t="s">
        <v>734</v>
      </c>
      <c r="G66" t="s">
        <v>735</v>
      </c>
      <c r="H66" t="s">
        <v>57</v>
      </c>
      <c r="I66">
        <v>79</v>
      </c>
      <c r="J66" t="s">
        <v>736</v>
      </c>
      <c r="K66" t="s">
        <v>169</v>
      </c>
      <c r="L66">
        <v>12</v>
      </c>
      <c r="M66" t="s">
        <v>60</v>
      </c>
      <c r="N66" t="s">
        <v>640</v>
      </c>
      <c r="O66" t="s">
        <v>657</v>
      </c>
      <c r="P66" t="s">
        <v>203</v>
      </c>
      <c r="Q66" t="s">
        <v>204</v>
      </c>
      <c r="R66" t="s">
        <v>65</v>
      </c>
      <c r="S66" t="s">
        <v>117</v>
      </c>
      <c r="T66" t="s">
        <v>142</v>
      </c>
      <c r="U66" t="s">
        <v>597</v>
      </c>
      <c r="V66" t="s">
        <v>439</v>
      </c>
      <c r="W66">
        <v>35116</v>
      </c>
      <c r="X66">
        <v>32648</v>
      </c>
      <c r="Y66">
        <v>2468</v>
      </c>
      <c r="Z66">
        <v>3991</v>
      </c>
      <c r="AA66" t="s">
        <v>98</v>
      </c>
      <c r="AB66" t="s">
        <v>263</v>
      </c>
      <c r="AC66" t="s">
        <v>71</v>
      </c>
      <c r="AD66" t="s">
        <v>95</v>
      </c>
      <c r="AE66">
        <v>8</v>
      </c>
      <c r="AF66">
        <v>90</v>
      </c>
      <c r="AG66">
        <v>96</v>
      </c>
      <c r="AH66" t="s">
        <v>96</v>
      </c>
      <c r="AI66">
        <v>80</v>
      </c>
      <c r="AJ66">
        <v>36</v>
      </c>
      <c r="AK66">
        <v>36</v>
      </c>
      <c r="AL66" t="s">
        <v>97</v>
      </c>
      <c r="AM66">
        <v>100</v>
      </c>
      <c r="AN66" t="s">
        <v>98</v>
      </c>
      <c r="AO66">
        <v>3</v>
      </c>
      <c r="AP66">
        <v>5</v>
      </c>
      <c r="AQ66" t="s">
        <v>137</v>
      </c>
      <c r="AR66" t="s">
        <v>208</v>
      </c>
      <c r="AS66" t="s">
        <v>70</v>
      </c>
      <c r="AT66" t="s">
        <v>177</v>
      </c>
      <c r="AU66" t="s">
        <v>77</v>
      </c>
      <c r="AV66" t="s">
        <v>78</v>
      </c>
      <c r="AW66" t="s">
        <v>79</v>
      </c>
      <c r="AX66" t="str">
        <f t="shared" si="1"/>
        <v>Kondhwa</v>
      </c>
    </row>
    <row r="67" spans="1:50" x14ac:dyDescent="0.25">
      <c r="A67" t="s">
        <v>737</v>
      </c>
      <c r="B67" t="s">
        <v>1377</v>
      </c>
      <c r="C67" t="s">
        <v>738</v>
      </c>
      <c r="D67" t="s">
        <v>52</v>
      </c>
      <c r="E67" t="s">
        <v>739</v>
      </c>
      <c r="F67" t="s">
        <v>740</v>
      </c>
      <c r="G67" t="s">
        <v>741</v>
      </c>
      <c r="H67" t="s">
        <v>135</v>
      </c>
      <c r="I67">
        <v>80</v>
      </c>
      <c r="J67" t="s">
        <v>742</v>
      </c>
      <c r="K67" t="s">
        <v>59</v>
      </c>
      <c r="L67">
        <v>12</v>
      </c>
      <c r="M67" t="s">
        <v>112</v>
      </c>
      <c r="N67" t="s">
        <v>581</v>
      </c>
      <c r="O67" t="s">
        <v>743</v>
      </c>
      <c r="P67" t="s">
        <v>550</v>
      </c>
      <c r="Q67" t="s">
        <v>64</v>
      </c>
      <c r="R67" t="s">
        <v>140</v>
      </c>
      <c r="S67" t="s">
        <v>219</v>
      </c>
      <c r="T67" t="s">
        <v>142</v>
      </c>
      <c r="U67" t="s">
        <v>426</v>
      </c>
      <c r="V67" t="s">
        <v>426</v>
      </c>
      <c r="W67">
        <v>44771</v>
      </c>
      <c r="X67">
        <v>43191</v>
      </c>
      <c r="Y67">
        <v>1580</v>
      </c>
      <c r="Z67">
        <v>1738</v>
      </c>
      <c r="AA67" t="s">
        <v>70</v>
      </c>
      <c r="AC67" t="s">
        <v>71</v>
      </c>
      <c r="AD67" t="s">
        <v>121</v>
      </c>
      <c r="AE67">
        <v>4</v>
      </c>
      <c r="AF67">
        <v>44</v>
      </c>
      <c r="AG67">
        <v>73</v>
      </c>
      <c r="AH67" t="s">
        <v>73</v>
      </c>
      <c r="AI67">
        <v>85</v>
      </c>
      <c r="AJ67">
        <v>20</v>
      </c>
      <c r="AK67">
        <v>16</v>
      </c>
      <c r="AL67" t="s">
        <v>122</v>
      </c>
      <c r="AM67">
        <v>80</v>
      </c>
      <c r="AN67" t="s">
        <v>70</v>
      </c>
      <c r="AO67">
        <v>3</v>
      </c>
      <c r="AP67">
        <v>5</v>
      </c>
      <c r="AQ67" t="s">
        <v>157</v>
      </c>
      <c r="AR67" t="s">
        <v>385</v>
      </c>
      <c r="AS67" t="s">
        <v>98</v>
      </c>
      <c r="AT67" t="s">
        <v>101</v>
      </c>
      <c r="AU67" t="s">
        <v>77</v>
      </c>
      <c r="AV67" t="s">
        <v>147</v>
      </c>
      <c r="AX67" t="str">
        <f t="shared" ref="AX67:AX130" si="2">IF(LEFT(A67,2)="AU","Aundh",IF(LEFT(A67,2)="KO","Kondhwa","Sinhgad Road"))</f>
        <v>Kondhwa</v>
      </c>
    </row>
    <row r="68" spans="1:50" x14ac:dyDescent="0.25">
      <c r="A68" t="s">
        <v>744</v>
      </c>
      <c r="B68" t="s">
        <v>1378</v>
      </c>
      <c r="C68" t="s">
        <v>745</v>
      </c>
      <c r="D68" t="s">
        <v>130</v>
      </c>
      <c r="E68" t="s">
        <v>746</v>
      </c>
      <c r="F68" t="s">
        <v>747</v>
      </c>
      <c r="G68" t="s">
        <v>748</v>
      </c>
      <c r="H68" t="s">
        <v>1393</v>
      </c>
      <c r="I68">
        <v>87</v>
      </c>
      <c r="J68" t="s">
        <v>749</v>
      </c>
      <c r="K68" t="s">
        <v>242</v>
      </c>
      <c r="L68">
        <v>6</v>
      </c>
      <c r="M68" t="s">
        <v>89</v>
      </c>
      <c r="N68" t="s">
        <v>631</v>
      </c>
      <c r="O68" t="s">
        <v>632</v>
      </c>
      <c r="P68" t="s">
        <v>559</v>
      </c>
      <c r="Q68" t="s">
        <v>116</v>
      </c>
      <c r="R68" t="s">
        <v>65</v>
      </c>
      <c r="S68" t="s">
        <v>232</v>
      </c>
      <c r="T68" t="s">
        <v>118</v>
      </c>
      <c r="U68" t="s">
        <v>74</v>
      </c>
      <c r="V68" t="s">
        <v>99</v>
      </c>
      <c r="W68">
        <v>23886</v>
      </c>
      <c r="X68">
        <v>23471</v>
      </c>
      <c r="Y68">
        <v>415</v>
      </c>
      <c r="Z68">
        <v>1110</v>
      </c>
      <c r="AA68" t="s">
        <v>70</v>
      </c>
      <c r="AC68" t="s">
        <v>71</v>
      </c>
      <c r="AD68" t="s">
        <v>121</v>
      </c>
      <c r="AE68">
        <v>6</v>
      </c>
      <c r="AF68">
        <v>69</v>
      </c>
      <c r="AG68">
        <v>83</v>
      </c>
      <c r="AH68" t="s">
        <v>234</v>
      </c>
      <c r="AI68">
        <v>95</v>
      </c>
      <c r="AJ68">
        <v>22</v>
      </c>
      <c r="AK68">
        <v>16</v>
      </c>
      <c r="AL68" t="s">
        <v>122</v>
      </c>
      <c r="AM68">
        <v>72</v>
      </c>
      <c r="AN68" t="s">
        <v>98</v>
      </c>
      <c r="AO68">
        <v>5</v>
      </c>
      <c r="AP68">
        <v>5</v>
      </c>
      <c r="AQ68" t="s">
        <v>750</v>
      </c>
      <c r="AR68" t="s">
        <v>751</v>
      </c>
      <c r="AS68" t="s">
        <v>98</v>
      </c>
      <c r="AT68" t="s">
        <v>177</v>
      </c>
      <c r="AU68" t="s">
        <v>160</v>
      </c>
      <c r="AV68" t="s">
        <v>147</v>
      </c>
      <c r="AX68" t="str">
        <f t="shared" si="2"/>
        <v>Kondhwa</v>
      </c>
    </row>
    <row r="69" spans="1:50" x14ac:dyDescent="0.25">
      <c r="A69" t="s">
        <v>752</v>
      </c>
      <c r="B69" t="s">
        <v>1379</v>
      </c>
      <c r="C69" t="s">
        <v>753</v>
      </c>
      <c r="D69" t="s">
        <v>130</v>
      </c>
      <c r="E69" t="s">
        <v>754</v>
      </c>
      <c r="F69" t="s">
        <v>755</v>
      </c>
      <c r="G69" t="s">
        <v>756</v>
      </c>
      <c r="H69" t="s">
        <v>57</v>
      </c>
      <c r="I69">
        <v>94</v>
      </c>
      <c r="J69" t="s">
        <v>757</v>
      </c>
      <c r="K69" t="s">
        <v>294</v>
      </c>
      <c r="L69">
        <v>6</v>
      </c>
      <c r="M69" t="s">
        <v>60</v>
      </c>
      <c r="N69" t="s">
        <v>322</v>
      </c>
      <c r="O69" t="s">
        <v>758</v>
      </c>
      <c r="P69" t="s">
        <v>172</v>
      </c>
      <c r="Q69" t="s">
        <v>116</v>
      </c>
      <c r="R69" t="s">
        <v>140</v>
      </c>
      <c r="S69" t="s">
        <v>232</v>
      </c>
      <c r="T69" t="s">
        <v>273</v>
      </c>
      <c r="U69" t="s">
        <v>321</v>
      </c>
      <c r="V69" t="s">
        <v>449</v>
      </c>
      <c r="W69">
        <v>45617</v>
      </c>
      <c r="X69">
        <v>45592</v>
      </c>
      <c r="Y69">
        <v>25</v>
      </c>
      <c r="Z69">
        <v>114</v>
      </c>
      <c r="AA69" t="s">
        <v>70</v>
      </c>
      <c r="AC69" t="s">
        <v>71</v>
      </c>
      <c r="AD69" t="s">
        <v>121</v>
      </c>
      <c r="AE69">
        <v>5</v>
      </c>
      <c r="AF69">
        <v>68</v>
      </c>
      <c r="AG69">
        <v>69</v>
      </c>
      <c r="AH69" t="s">
        <v>96</v>
      </c>
      <c r="AI69">
        <v>63</v>
      </c>
      <c r="AJ69">
        <v>36</v>
      </c>
      <c r="AK69">
        <v>34</v>
      </c>
      <c r="AL69" t="s">
        <v>97</v>
      </c>
      <c r="AM69">
        <v>94</v>
      </c>
      <c r="AN69" t="s">
        <v>70</v>
      </c>
      <c r="AO69">
        <v>2</v>
      </c>
      <c r="AP69">
        <v>1</v>
      </c>
      <c r="AQ69" t="s">
        <v>666</v>
      </c>
      <c r="AR69" t="s">
        <v>94</v>
      </c>
      <c r="AS69" t="s">
        <v>70</v>
      </c>
      <c r="AT69" t="s">
        <v>287</v>
      </c>
      <c r="AU69" t="s">
        <v>77</v>
      </c>
      <c r="AV69" t="s">
        <v>147</v>
      </c>
      <c r="AX69" t="str">
        <f t="shared" si="2"/>
        <v>Kondhwa</v>
      </c>
    </row>
    <row r="70" spans="1:50" x14ac:dyDescent="0.25">
      <c r="A70" t="s">
        <v>759</v>
      </c>
      <c r="B70" t="s">
        <v>402</v>
      </c>
      <c r="C70" t="s">
        <v>760</v>
      </c>
      <c r="D70" t="s">
        <v>106</v>
      </c>
      <c r="E70" t="s">
        <v>761</v>
      </c>
      <c r="F70" t="s">
        <v>762</v>
      </c>
      <c r="G70" t="s">
        <v>763</v>
      </c>
      <c r="H70" t="s">
        <v>1392</v>
      </c>
      <c r="I70">
        <v>94</v>
      </c>
      <c r="J70" t="s">
        <v>764</v>
      </c>
      <c r="K70" t="s">
        <v>294</v>
      </c>
      <c r="L70">
        <v>6</v>
      </c>
      <c r="M70" t="s">
        <v>60</v>
      </c>
      <c r="N70" t="s">
        <v>61</v>
      </c>
      <c r="O70" t="s">
        <v>686</v>
      </c>
      <c r="P70" t="s">
        <v>396</v>
      </c>
      <c r="Q70" t="s">
        <v>64</v>
      </c>
      <c r="R70" t="s">
        <v>140</v>
      </c>
      <c r="S70" t="s">
        <v>232</v>
      </c>
      <c r="T70" t="s">
        <v>273</v>
      </c>
      <c r="U70" t="s">
        <v>217</v>
      </c>
      <c r="V70" t="s">
        <v>535</v>
      </c>
      <c r="W70">
        <v>49351</v>
      </c>
      <c r="X70">
        <v>48701</v>
      </c>
      <c r="Y70">
        <v>650</v>
      </c>
      <c r="Z70">
        <v>2068</v>
      </c>
      <c r="AA70" t="s">
        <v>70</v>
      </c>
      <c r="AC70" t="s">
        <v>71</v>
      </c>
      <c r="AD70" t="s">
        <v>121</v>
      </c>
      <c r="AE70">
        <v>2</v>
      </c>
      <c r="AF70">
        <v>76</v>
      </c>
      <c r="AG70">
        <v>87</v>
      </c>
      <c r="AH70" t="s">
        <v>96</v>
      </c>
      <c r="AI70">
        <v>65</v>
      </c>
      <c r="AJ70">
        <v>27</v>
      </c>
      <c r="AK70">
        <v>21</v>
      </c>
      <c r="AL70" t="s">
        <v>122</v>
      </c>
      <c r="AM70">
        <v>77</v>
      </c>
      <c r="AN70" t="s">
        <v>98</v>
      </c>
      <c r="AO70">
        <v>5</v>
      </c>
      <c r="AP70">
        <v>1</v>
      </c>
      <c r="AQ70" t="s">
        <v>765</v>
      </c>
      <c r="AR70" t="s">
        <v>766</v>
      </c>
      <c r="AS70" t="s">
        <v>98</v>
      </c>
      <c r="AT70" t="s">
        <v>125</v>
      </c>
      <c r="AU70" t="s">
        <v>77</v>
      </c>
      <c r="AV70" t="s">
        <v>78</v>
      </c>
      <c r="AW70" t="s">
        <v>102</v>
      </c>
      <c r="AX70" t="str">
        <f t="shared" si="2"/>
        <v>Kondhwa</v>
      </c>
    </row>
    <row r="71" spans="1:50" x14ac:dyDescent="0.25">
      <c r="A71" t="s">
        <v>767</v>
      </c>
      <c r="B71" t="s">
        <v>196</v>
      </c>
      <c r="C71" t="s">
        <v>768</v>
      </c>
      <c r="D71" t="s">
        <v>52</v>
      </c>
      <c r="E71" t="s">
        <v>769</v>
      </c>
      <c r="F71" t="s">
        <v>770</v>
      </c>
      <c r="G71" t="s">
        <v>771</v>
      </c>
      <c r="H71" t="s">
        <v>57</v>
      </c>
      <c r="I71">
        <v>86</v>
      </c>
      <c r="J71" t="s">
        <v>772</v>
      </c>
      <c r="K71" t="s">
        <v>111</v>
      </c>
      <c r="L71">
        <v>6</v>
      </c>
      <c r="M71" t="s">
        <v>112</v>
      </c>
      <c r="N71" t="s">
        <v>274</v>
      </c>
      <c r="O71" t="s">
        <v>773</v>
      </c>
      <c r="P71" t="s">
        <v>245</v>
      </c>
      <c r="Q71" t="s">
        <v>204</v>
      </c>
      <c r="R71" t="s">
        <v>140</v>
      </c>
      <c r="S71" t="s">
        <v>66</v>
      </c>
      <c r="T71" t="s">
        <v>142</v>
      </c>
      <c r="U71" t="s">
        <v>274</v>
      </c>
      <c r="V71" t="s">
        <v>360</v>
      </c>
      <c r="W71">
        <v>17301</v>
      </c>
      <c r="X71">
        <v>16524</v>
      </c>
      <c r="Y71">
        <v>777</v>
      </c>
      <c r="Z71">
        <v>3434</v>
      </c>
      <c r="AA71" t="s">
        <v>70</v>
      </c>
      <c r="AC71" t="s">
        <v>71</v>
      </c>
      <c r="AD71" t="s">
        <v>121</v>
      </c>
      <c r="AE71">
        <v>6</v>
      </c>
      <c r="AF71">
        <v>69</v>
      </c>
      <c r="AG71">
        <v>89</v>
      </c>
      <c r="AH71" t="s">
        <v>234</v>
      </c>
      <c r="AI71">
        <v>67</v>
      </c>
      <c r="AJ71">
        <v>30</v>
      </c>
      <c r="AK71">
        <v>18</v>
      </c>
      <c r="AM71">
        <v>60</v>
      </c>
      <c r="AN71" t="s">
        <v>98</v>
      </c>
      <c r="AO71">
        <v>1</v>
      </c>
      <c r="AP71">
        <v>5</v>
      </c>
      <c r="AQ71" t="s">
        <v>598</v>
      </c>
      <c r="AR71" t="s">
        <v>340</v>
      </c>
      <c r="AS71" t="s">
        <v>98</v>
      </c>
      <c r="AT71" t="s">
        <v>287</v>
      </c>
      <c r="AU71" t="s">
        <v>77</v>
      </c>
      <c r="AV71" t="s">
        <v>147</v>
      </c>
      <c r="AX71" t="str">
        <f t="shared" si="2"/>
        <v>Kondhwa</v>
      </c>
    </row>
    <row r="72" spans="1:50" x14ac:dyDescent="0.25">
      <c r="A72" t="s">
        <v>774</v>
      </c>
      <c r="B72" t="s">
        <v>419</v>
      </c>
      <c r="C72" t="s">
        <v>775</v>
      </c>
      <c r="D72" t="s">
        <v>52</v>
      </c>
      <c r="E72" t="s">
        <v>776</v>
      </c>
      <c r="F72" t="s">
        <v>777</v>
      </c>
      <c r="G72" t="s">
        <v>778</v>
      </c>
      <c r="H72" t="s">
        <v>57</v>
      </c>
      <c r="I72">
        <v>78</v>
      </c>
      <c r="J72" t="s">
        <v>779</v>
      </c>
      <c r="K72" t="s">
        <v>59</v>
      </c>
      <c r="L72">
        <v>3</v>
      </c>
      <c r="M72" t="s">
        <v>89</v>
      </c>
      <c r="N72" t="s">
        <v>780</v>
      </c>
      <c r="O72" t="s">
        <v>249</v>
      </c>
      <c r="P72" t="s">
        <v>371</v>
      </c>
      <c r="Q72" t="s">
        <v>204</v>
      </c>
      <c r="R72" t="s">
        <v>140</v>
      </c>
      <c r="S72" t="s">
        <v>117</v>
      </c>
      <c r="T72" t="s">
        <v>118</v>
      </c>
      <c r="U72" t="s">
        <v>93</v>
      </c>
      <c r="V72" t="s">
        <v>307</v>
      </c>
      <c r="W72">
        <v>19459</v>
      </c>
      <c r="X72">
        <v>17117</v>
      </c>
      <c r="Y72">
        <v>2342</v>
      </c>
      <c r="Z72">
        <v>3454</v>
      </c>
      <c r="AA72" t="s">
        <v>70</v>
      </c>
      <c r="AC72" t="s">
        <v>71</v>
      </c>
      <c r="AD72" t="s">
        <v>95</v>
      </c>
      <c r="AE72">
        <v>4</v>
      </c>
      <c r="AF72">
        <v>46</v>
      </c>
      <c r="AG72">
        <v>97</v>
      </c>
      <c r="AH72" t="s">
        <v>96</v>
      </c>
      <c r="AI72">
        <v>97</v>
      </c>
      <c r="AJ72">
        <v>56</v>
      </c>
      <c r="AK72">
        <v>32</v>
      </c>
      <c r="AM72">
        <v>57</v>
      </c>
      <c r="AN72" t="s">
        <v>70</v>
      </c>
      <c r="AO72">
        <v>3</v>
      </c>
      <c r="AP72">
        <v>2</v>
      </c>
      <c r="AQ72" t="s">
        <v>233</v>
      </c>
      <c r="AR72" t="s">
        <v>781</v>
      </c>
      <c r="AS72" t="s">
        <v>98</v>
      </c>
      <c r="AT72" t="s">
        <v>101</v>
      </c>
      <c r="AU72" t="s">
        <v>77</v>
      </c>
      <c r="AV72" t="s">
        <v>147</v>
      </c>
      <c r="AX72" t="str">
        <f t="shared" si="2"/>
        <v>Kondhwa</v>
      </c>
    </row>
    <row r="73" spans="1:50" x14ac:dyDescent="0.25">
      <c r="A73" t="s">
        <v>782</v>
      </c>
      <c r="B73" t="s">
        <v>278</v>
      </c>
      <c r="C73" t="s">
        <v>783</v>
      </c>
      <c r="D73" t="s">
        <v>52</v>
      </c>
      <c r="E73" t="s">
        <v>784</v>
      </c>
      <c r="F73" t="s">
        <v>785</v>
      </c>
      <c r="G73" t="s">
        <v>786</v>
      </c>
      <c r="H73" t="s">
        <v>87</v>
      </c>
      <c r="I73">
        <v>80</v>
      </c>
      <c r="J73" t="s">
        <v>787</v>
      </c>
      <c r="K73" t="s">
        <v>242</v>
      </c>
      <c r="L73">
        <v>6</v>
      </c>
      <c r="M73" t="s">
        <v>60</v>
      </c>
      <c r="N73" t="s">
        <v>788</v>
      </c>
      <c r="O73" t="s">
        <v>789</v>
      </c>
      <c r="P73" t="s">
        <v>203</v>
      </c>
      <c r="Q73" t="s">
        <v>204</v>
      </c>
      <c r="R73" t="s">
        <v>140</v>
      </c>
      <c r="S73" t="s">
        <v>141</v>
      </c>
      <c r="T73" t="s">
        <v>205</v>
      </c>
      <c r="U73" t="s">
        <v>201</v>
      </c>
      <c r="V73" t="s">
        <v>263</v>
      </c>
      <c r="W73">
        <v>20924</v>
      </c>
      <c r="X73">
        <v>19348</v>
      </c>
      <c r="Y73">
        <v>1576</v>
      </c>
      <c r="Z73">
        <v>3300</v>
      </c>
      <c r="AA73" t="s">
        <v>70</v>
      </c>
      <c r="AC73" t="s">
        <v>71</v>
      </c>
      <c r="AD73" t="s">
        <v>121</v>
      </c>
      <c r="AE73">
        <v>3</v>
      </c>
      <c r="AF73">
        <v>48</v>
      </c>
      <c r="AG73">
        <v>99</v>
      </c>
      <c r="AH73" t="s">
        <v>96</v>
      </c>
      <c r="AI73">
        <v>98</v>
      </c>
      <c r="AJ73">
        <v>30</v>
      </c>
      <c r="AK73">
        <v>19</v>
      </c>
      <c r="AM73">
        <v>63</v>
      </c>
      <c r="AN73" t="s">
        <v>70</v>
      </c>
      <c r="AO73">
        <v>5</v>
      </c>
      <c r="AP73">
        <v>3</v>
      </c>
      <c r="AQ73" t="s">
        <v>352</v>
      </c>
      <c r="AR73" t="s">
        <v>100</v>
      </c>
      <c r="AS73" t="s">
        <v>70</v>
      </c>
      <c r="AT73" t="s">
        <v>76</v>
      </c>
      <c r="AU73" t="s">
        <v>77</v>
      </c>
      <c r="AV73" t="s">
        <v>78</v>
      </c>
      <c r="AW73" t="s">
        <v>102</v>
      </c>
      <c r="AX73" t="str">
        <f t="shared" si="2"/>
        <v>Kondhwa</v>
      </c>
    </row>
    <row r="74" spans="1:50" x14ac:dyDescent="0.25">
      <c r="A74" t="s">
        <v>790</v>
      </c>
      <c r="B74" t="s">
        <v>1380</v>
      </c>
      <c r="C74" t="s">
        <v>791</v>
      </c>
      <c r="D74" t="s">
        <v>52</v>
      </c>
      <c r="E74" t="s">
        <v>792</v>
      </c>
      <c r="F74" t="s">
        <v>793</v>
      </c>
      <c r="G74" t="s">
        <v>735</v>
      </c>
      <c r="H74" t="s">
        <v>87</v>
      </c>
      <c r="I74">
        <v>67</v>
      </c>
      <c r="J74" t="s">
        <v>794</v>
      </c>
      <c r="K74" t="s">
        <v>111</v>
      </c>
      <c r="L74">
        <v>3</v>
      </c>
      <c r="M74" t="s">
        <v>60</v>
      </c>
      <c r="N74" t="s">
        <v>206</v>
      </c>
      <c r="O74" t="s">
        <v>795</v>
      </c>
      <c r="P74" t="s">
        <v>550</v>
      </c>
      <c r="Q74" t="s">
        <v>116</v>
      </c>
      <c r="R74" t="s">
        <v>65</v>
      </c>
      <c r="S74" t="s">
        <v>141</v>
      </c>
      <c r="T74" t="s">
        <v>67</v>
      </c>
      <c r="U74" t="s">
        <v>159</v>
      </c>
      <c r="V74" t="s">
        <v>159</v>
      </c>
      <c r="W74">
        <v>47341</v>
      </c>
      <c r="X74">
        <v>46395</v>
      </c>
      <c r="Y74">
        <v>946</v>
      </c>
      <c r="Z74">
        <v>1891</v>
      </c>
      <c r="AA74" t="s">
        <v>70</v>
      </c>
      <c r="AC74" t="s">
        <v>71</v>
      </c>
      <c r="AD74" t="s">
        <v>191</v>
      </c>
      <c r="AE74">
        <v>2</v>
      </c>
      <c r="AF74">
        <v>70</v>
      </c>
      <c r="AG74">
        <v>89</v>
      </c>
      <c r="AH74" t="s">
        <v>73</v>
      </c>
      <c r="AI74">
        <v>80</v>
      </c>
      <c r="AJ74">
        <v>44</v>
      </c>
      <c r="AK74">
        <v>28</v>
      </c>
      <c r="AL74" t="s">
        <v>122</v>
      </c>
      <c r="AM74">
        <v>63</v>
      </c>
      <c r="AN74" t="s">
        <v>70</v>
      </c>
      <c r="AO74">
        <v>1</v>
      </c>
      <c r="AP74">
        <v>2</v>
      </c>
      <c r="AQ74" t="s">
        <v>796</v>
      </c>
      <c r="AR74" t="s">
        <v>399</v>
      </c>
      <c r="AS74" t="s">
        <v>70</v>
      </c>
      <c r="AT74" t="s">
        <v>76</v>
      </c>
      <c r="AU74" t="s">
        <v>77</v>
      </c>
      <c r="AV74" t="s">
        <v>147</v>
      </c>
      <c r="AX74" t="str">
        <f t="shared" si="2"/>
        <v>Kondhwa</v>
      </c>
    </row>
    <row r="75" spans="1:50" x14ac:dyDescent="0.25">
      <c r="A75" t="s">
        <v>797</v>
      </c>
      <c r="B75" t="s">
        <v>224</v>
      </c>
      <c r="C75" t="s">
        <v>798</v>
      </c>
      <c r="D75" t="s">
        <v>106</v>
      </c>
      <c r="E75" t="s">
        <v>800</v>
      </c>
      <c r="F75" t="s">
        <v>801</v>
      </c>
      <c r="G75" t="s">
        <v>802</v>
      </c>
      <c r="H75" t="s">
        <v>1392</v>
      </c>
      <c r="I75">
        <v>87</v>
      </c>
      <c r="J75" t="s">
        <v>803</v>
      </c>
      <c r="K75" t="s">
        <v>242</v>
      </c>
      <c r="L75">
        <v>3</v>
      </c>
      <c r="M75" t="s">
        <v>60</v>
      </c>
      <c r="N75" t="s">
        <v>248</v>
      </c>
      <c r="O75" t="s">
        <v>75</v>
      </c>
      <c r="P75" t="s">
        <v>139</v>
      </c>
      <c r="Q75" t="s">
        <v>64</v>
      </c>
      <c r="R75" t="s">
        <v>140</v>
      </c>
      <c r="S75" t="s">
        <v>117</v>
      </c>
      <c r="T75" t="s">
        <v>142</v>
      </c>
      <c r="U75" t="s">
        <v>220</v>
      </c>
      <c r="V75" t="s">
        <v>321</v>
      </c>
      <c r="W75">
        <v>26352</v>
      </c>
      <c r="X75">
        <v>25125</v>
      </c>
      <c r="Y75">
        <v>1227</v>
      </c>
      <c r="Z75">
        <v>2445</v>
      </c>
      <c r="AA75" t="s">
        <v>98</v>
      </c>
      <c r="AB75" t="s">
        <v>249</v>
      </c>
      <c r="AC75" t="s">
        <v>71</v>
      </c>
      <c r="AD75" t="s">
        <v>191</v>
      </c>
      <c r="AE75">
        <v>2</v>
      </c>
      <c r="AF75">
        <v>54</v>
      </c>
      <c r="AG75">
        <v>73</v>
      </c>
      <c r="AH75" t="s">
        <v>73</v>
      </c>
      <c r="AI75">
        <v>64</v>
      </c>
      <c r="AJ75">
        <v>23</v>
      </c>
      <c r="AK75">
        <v>20</v>
      </c>
      <c r="AL75" t="s">
        <v>122</v>
      </c>
      <c r="AM75">
        <v>86</v>
      </c>
      <c r="AN75" t="s">
        <v>98</v>
      </c>
      <c r="AO75">
        <v>5</v>
      </c>
      <c r="AP75">
        <v>4</v>
      </c>
      <c r="AQ75" t="s">
        <v>93</v>
      </c>
      <c r="AR75" t="s">
        <v>765</v>
      </c>
      <c r="AS75" t="s">
        <v>98</v>
      </c>
      <c r="AT75" t="s">
        <v>101</v>
      </c>
      <c r="AU75" t="s">
        <v>126</v>
      </c>
      <c r="AV75" t="s">
        <v>78</v>
      </c>
      <c r="AW75" t="s">
        <v>79</v>
      </c>
      <c r="AX75" t="str">
        <f t="shared" si="2"/>
        <v>Kondhwa</v>
      </c>
    </row>
    <row r="76" spans="1:50" x14ac:dyDescent="0.25">
      <c r="A76" t="s">
        <v>804</v>
      </c>
      <c r="B76" t="s">
        <v>1381</v>
      </c>
      <c r="C76" t="s">
        <v>805</v>
      </c>
      <c r="D76" t="s">
        <v>130</v>
      </c>
      <c r="E76" t="s">
        <v>806</v>
      </c>
      <c r="F76" t="s">
        <v>807</v>
      </c>
      <c r="G76" t="s">
        <v>808</v>
      </c>
      <c r="H76" t="s">
        <v>135</v>
      </c>
      <c r="I76">
        <v>64</v>
      </c>
      <c r="J76" t="s">
        <v>809</v>
      </c>
      <c r="K76" t="s">
        <v>111</v>
      </c>
      <c r="L76">
        <v>6</v>
      </c>
      <c r="M76" t="s">
        <v>60</v>
      </c>
      <c r="N76" t="s">
        <v>810</v>
      </c>
      <c r="O76" t="s">
        <v>811</v>
      </c>
      <c r="P76" t="s">
        <v>63</v>
      </c>
      <c r="Q76" t="s">
        <v>204</v>
      </c>
      <c r="R76" t="s">
        <v>65</v>
      </c>
      <c r="S76" t="s">
        <v>66</v>
      </c>
      <c r="T76" t="s">
        <v>118</v>
      </c>
      <c r="U76" t="s">
        <v>397</v>
      </c>
      <c r="V76" t="s">
        <v>397</v>
      </c>
      <c r="W76">
        <v>42875</v>
      </c>
      <c r="X76">
        <v>42345</v>
      </c>
      <c r="Y76">
        <v>530</v>
      </c>
      <c r="Z76">
        <v>4954</v>
      </c>
      <c r="AA76" t="s">
        <v>70</v>
      </c>
      <c r="AC76" t="s">
        <v>71</v>
      </c>
      <c r="AD76" t="s">
        <v>95</v>
      </c>
      <c r="AE76">
        <v>10</v>
      </c>
      <c r="AF76">
        <v>55</v>
      </c>
      <c r="AG76">
        <v>92</v>
      </c>
      <c r="AH76" t="s">
        <v>96</v>
      </c>
      <c r="AI76">
        <v>79</v>
      </c>
      <c r="AJ76">
        <v>51</v>
      </c>
      <c r="AK76">
        <v>34</v>
      </c>
      <c r="AM76">
        <v>66</v>
      </c>
      <c r="AN76" t="s">
        <v>98</v>
      </c>
      <c r="AO76">
        <v>3</v>
      </c>
      <c r="AP76">
        <v>1</v>
      </c>
      <c r="AQ76" t="s">
        <v>781</v>
      </c>
      <c r="AR76" t="s">
        <v>695</v>
      </c>
      <c r="AS76" t="s">
        <v>98</v>
      </c>
      <c r="AT76" t="s">
        <v>177</v>
      </c>
      <c r="AU76" t="s">
        <v>77</v>
      </c>
      <c r="AV76" t="s">
        <v>147</v>
      </c>
      <c r="AX76" t="str">
        <f t="shared" si="2"/>
        <v>Kondhwa</v>
      </c>
    </row>
    <row r="77" spans="1:50" x14ac:dyDescent="0.25">
      <c r="A77" t="s">
        <v>812</v>
      </c>
      <c r="B77" t="s">
        <v>443</v>
      </c>
      <c r="C77" t="s">
        <v>813</v>
      </c>
      <c r="D77" t="s">
        <v>130</v>
      </c>
      <c r="E77" t="s">
        <v>814</v>
      </c>
      <c r="F77" t="s">
        <v>815</v>
      </c>
      <c r="G77" t="s">
        <v>816</v>
      </c>
      <c r="H77" t="s">
        <v>57</v>
      </c>
      <c r="I77">
        <v>75</v>
      </c>
      <c r="J77" t="s">
        <v>817</v>
      </c>
      <c r="K77" t="s">
        <v>294</v>
      </c>
      <c r="L77">
        <v>3</v>
      </c>
      <c r="M77" t="s">
        <v>89</v>
      </c>
      <c r="N77" t="s">
        <v>201</v>
      </c>
      <c r="O77" t="s">
        <v>202</v>
      </c>
      <c r="P77" t="s">
        <v>63</v>
      </c>
      <c r="Q77" t="s">
        <v>116</v>
      </c>
      <c r="R77" t="s">
        <v>140</v>
      </c>
      <c r="S77" t="s">
        <v>141</v>
      </c>
      <c r="T77" t="s">
        <v>118</v>
      </c>
      <c r="U77" t="s">
        <v>333</v>
      </c>
      <c r="V77" t="s">
        <v>94</v>
      </c>
      <c r="W77">
        <v>42522</v>
      </c>
      <c r="X77">
        <v>40345</v>
      </c>
      <c r="Y77">
        <v>2177</v>
      </c>
      <c r="Z77">
        <v>4432</v>
      </c>
      <c r="AA77" t="s">
        <v>98</v>
      </c>
      <c r="AB77" t="s">
        <v>766</v>
      </c>
      <c r="AC77" t="s">
        <v>71</v>
      </c>
      <c r="AD77" t="s">
        <v>95</v>
      </c>
      <c r="AE77">
        <v>3</v>
      </c>
      <c r="AF77">
        <v>90</v>
      </c>
      <c r="AG77">
        <v>91</v>
      </c>
      <c r="AH77" t="s">
        <v>234</v>
      </c>
      <c r="AI77">
        <v>95</v>
      </c>
      <c r="AJ77">
        <v>45</v>
      </c>
      <c r="AK77">
        <v>45</v>
      </c>
      <c r="AL77" t="s">
        <v>122</v>
      </c>
      <c r="AM77">
        <v>100</v>
      </c>
      <c r="AN77" t="s">
        <v>98</v>
      </c>
      <c r="AO77">
        <v>4</v>
      </c>
      <c r="AP77">
        <v>4</v>
      </c>
      <c r="AQ77" t="s">
        <v>74</v>
      </c>
      <c r="AR77" t="s">
        <v>171</v>
      </c>
      <c r="AS77" t="s">
        <v>98</v>
      </c>
      <c r="AT77" t="s">
        <v>177</v>
      </c>
      <c r="AU77" t="s">
        <v>77</v>
      </c>
      <c r="AV77" t="s">
        <v>147</v>
      </c>
      <c r="AX77" t="str">
        <f t="shared" si="2"/>
        <v>Kondhwa</v>
      </c>
    </row>
    <row r="78" spans="1:50" x14ac:dyDescent="0.25">
      <c r="A78" t="s">
        <v>818</v>
      </c>
      <c r="B78" t="s">
        <v>194</v>
      </c>
      <c r="C78" t="s">
        <v>819</v>
      </c>
      <c r="D78" t="s">
        <v>106</v>
      </c>
      <c r="E78" t="s">
        <v>820</v>
      </c>
      <c r="F78" t="s">
        <v>821</v>
      </c>
      <c r="G78" t="s">
        <v>822</v>
      </c>
      <c r="H78" t="s">
        <v>1393</v>
      </c>
      <c r="I78">
        <v>83</v>
      </c>
      <c r="J78" t="s">
        <v>823</v>
      </c>
      <c r="K78" t="s">
        <v>111</v>
      </c>
      <c r="L78">
        <v>6</v>
      </c>
      <c r="M78" t="s">
        <v>60</v>
      </c>
      <c r="N78" t="s">
        <v>824</v>
      </c>
      <c r="O78" t="s">
        <v>825</v>
      </c>
      <c r="P78" t="s">
        <v>384</v>
      </c>
      <c r="Q78" t="s">
        <v>116</v>
      </c>
      <c r="R78" t="s">
        <v>65</v>
      </c>
      <c r="S78" t="s">
        <v>232</v>
      </c>
      <c r="T78" t="s">
        <v>205</v>
      </c>
      <c r="U78" t="s">
        <v>176</v>
      </c>
      <c r="V78" t="s">
        <v>176</v>
      </c>
      <c r="W78">
        <v>15553</v>
      </c>
      <c r="X78">
        <v>13040</v>
      </c>
      <c r="Y78">
        <v>2513</v>
      </c>
      <c r="Z78">
        <v>3819</v>
      </c>
      <c r="AA78" t="s">
        <v>98</v>
      </c>
      <c r="AB78" t="s">
        <v>159</v>
      </c>
      <c r="AC78" t="s">
        <v>71</v>
      </c>
      <c r="AD78" t="s">
        <v>121</v>
      </c>
      <c r="AE78">
        <v>7</v>
      </c>
      <c r="AF78">
        <v>42</v>
      </c>
      <c r="AG78">
        <v>93</v>
      </c>
      <c r="AH78" t="s">
        <v>96</v>
      </c>
      <c r="AI78">
        <v>69</v>
      </c>
      <c r="AJ78">
        <v>59</v>
      </c>
      <c r="AK78">
        <v>17</v>
      </c>
      <c r="AL78" t="s">
        <v>97</v>
      </c>
      <c r="AM78">
        <v>28</v>
      </c>
      <c r="AN78" t="s">
        <v>98</v>
      </c>
      <c r="AO78">
        <v>3</v>
      </c>
      <c r="AP78">
        <v>3</v>
      </c>
      <c r="AQ78" t="s">
        <v>429</v>
      </c>
      <c r="AR78" t="s">
        <v>407</v>
      </c>
      <c r="AS78" t="s">
        <v>98</v>
      </c>
      <c r="AT78" t="s">
        <v>76</v>
      </c>
      <c r="AU78" t="s">
        <v>160</v>
      </c>
      <c r="AV78" t="s">
        <v>147</v>
      </c>
      <c r="AX78" t="str">
        <f t="shared" si="2"/>
        <v>Kondhwa</v>
      </c>
    </row>
    <row r="79" spans="1:50" x14ac:dyDescent="0.25">
      <c r="A79" t="s">
        <v>826</v>
      </c>
      <c r="B79" t="s">
        <v>1382</v>
      </c>
      <c r="C79" t="s">
        <v>827</v>
      </c>
      <c r="D79" t="s">
        <v>106</v>
      </c>
      <c r="E79" t="s">
        <v>828</v>
      </c>
      <c r="F79" t="s">
        <v>829</v>
      </c>
      <c r="G79" t="s">
        <v>830</v>
      </c>
      <c r="H79" t="s">
        <v>87</v>
      </c>
      <c r="I79">
        <v>63</v>
      </c>
      <c r="J79" t="s">
        <v>831</v>
      </c>
      <c r="K79" t="s">
        <v>294</v>
      </c>
      <c r="L79">
        <v>6</v>
      </c>
      <c r="M79" t="s">
        <v>112</v>
      </c>
      <c r="N79" t="s">
        <v>832</v>
      </c>
      <c r="O79" t="s">
        <v>833</v>
      </c>
      <c r="P79" t="s">
        <v>203</v>
      </c>
      <c r="Q79" t="s">
        <v>116</v>
      </c>
      <c r="R79" t="s">
        <v>140</v>
      </c>
      <c r="S79" t="s">
        <v>141</v>
      </c>
      <c r="T79" t="s">
        <v>205</v>
      </c>
      <c r="U79" t="s">
        <v>170</v>
      </c>
      <c r="V79" t="s">
        <v>298</v>
      </c>
      <c r="W79">
        <v>44415</v>
      </c>
      <c r="X79">
        <v>41446</v>
      </c>
      <c r="Y79">
        <v>2969</v>
      </c>
      <c r="Z79">
        <v>3247</v>
      </c>
      <c r="AA79" t="s">
        <v>70</v>
      </c>
      <c r="AC79" t="s">
        <v>71</v>
      </c>
      <c r="AD79" t="s">
        <v>72</v>
      </c>
      <c r="AE79">
        <v>8</v>
      </c>
      <c r="AF79">
        <v>48</v>
      </c>
      <c r="AG79">
        <v>60</v>
      </c>
      <c r="AH79" t="s">
        <v>234</v>
      </c>
      <c r="AI79">
        <v>63</v>
      </c>
      <c r="AJ79">
        <v>55</v>
      </c>
      <c r="AK79">
        <v>29</v>
      </c>
      <c r="AM79">
        <v>52</v>
      </c>
      <c r="AN79" t="s">
        <v>98</v>
      </c>
      <c r="AO79">
        <v>2</v>
      </c>
      <c r="AP79">
        <v>4</v>
      </c>
      <c r="AQ79" t="s">
        <v>333</v>
      </c>
      <c r="AR79" t="s">
        <v>727</v>
      </c>
      <c r="AS79" t="s">
        <v>98</v>
      </c>
      <c r="AT79" t="s">
        <v>177</v>
      </c>
      <c r="AU79" t="s">
        <v>160</v>
      </c>
      <c r="AV79" t="s">
        <v>78</v>
      </c>
      <c r="AW79" t="s">
        <v>276</v>
      </c>
      <c r="AX79" t="str">
        <f t="shared" si="2"/>
        <v>Kondhwa</v>
      </c>
    </row>
    <row r="80" spans="1:50" x14ac:dyDescent="0.25">
      <c r="A80" t="s">
        <v>834</v>
      </c>
      <c r="B80" t="s">
        <v>1383</v>
      </c>
      <c r="C80" t="s">
        <v>835</v>
      </c>
      <c r="D80" t="s">
        <v>130</v>
      </c>
      <c r="E80" t="s">
        <v>836</v>
      </c>
      <c r="F80" t="s">
        <v>837</v>
      </c>
      <c r="G80" t="s">
        <v>838</v>
      </c>
      <c r="H80" t="s">
        <v>57</v>
      </c>
      <c r="I80">
        <v>63</v>
      </c>
      <c r="J80" t="s">
        <v>839</v>
      </c>
      <c r="K80" t="s">
        <v>59</v>
      </c>
      <c r="L80">
        <v>12</v>
      </c>
      <c r="M80" t="s">
        <v>60</v>
      </c>
      <c r="N80" t="s">
        <v>286</v>
      </c>
      <c r="O80" t="s">
        <v>840</v>
      </c>
      <c r="P80" t="s">
        <v>63</v>
      </c>
      <c r="Q80" t="s">
        <v>64</v>
      </c>
      <c r="R80" t="s">
        <v>65</v>
      </c>
      <c r="S80" t="s">
        <v>117</v>
      </c>
      <c r="T80" t="s">
        <v>205</v>
      </c>
      <c r="U80" t="s">
        <v>156</v>
      </c>
      <c r="V80" t="s">
        <v>535</v>
      </c>
      <c r="W80">
        <v>28843</v>
      </c>
      <c r="X80">
        <v>27816</v>
      </c>
      <c r="Y80">
        <v>1027</v>
      </c>
      <c r="Z80">
        <v>2145</v>
      </c>
      <c r="AA80" t="s">
        <v>98</v>
      </c>
      <c r="AB80" t="s">
        <v>551</v>
      </c>
      <c r="AC80" t="s">
        <v>71</v>
      </c>
      <c r="AD80" t="s">
        <v>72</v>
      </c>
      <c r="AE80">
        <v>4</v>
      </c>
      <c r="AF80">
        <v>87</v>
      </c>
      <c r="AG80">
        <v>89</v>
      </c>
      <c r="AH80" t="s">
        <v>234</v>
      </c>
      <c r="AI80">
        <v>78</v>
      </c>
      <c r="AJ80">
        <v>58</v>
      </c>
      <c r="AK80">
        <v>34</v>
      </c>
      <c r="AL80" t="s">
        <v>122</v>
      </c>
      <c r="AM80">
        <v>58</v>
      </c>
      <c r="AN80" t="s">
        <v>70</v>
      </c>
      <c r="AO80">
        <v>1</v>
      </c>
      <c r="AP80">
        <v>1</v>
      </c>
      <c r="AQ80" t="s">
        <v>475</v>
      </c>
      <c r="AR80" t="s">
        <v>362</v>
      </c>
      <c r="AS80" t="s">
        <v>70</v>
      </c>
      <c r="AT80" t="s">
        <v>125</v>
      </c>
      <c r="AU80" t="s">
        <v>77</v>
      </c>
      <c r="AV80" t="s">
        <v>78</v>
      </c>
      <c r="AW80" t="s">
        <v>276</v>
      </c>
      <c r="AX80" t="str">
        <f t="shared" si="2"/>
        <v>Kondhwa</v>
      </c>
    </row>
    <row r="81" spans="1:50" x14ac:dyDescent="0.25">
      <c r="A81" t="s">
        <v>841</v>
      </c>
      <c r="B81" t="s">
        <v>1384</v>
      </c>
      <c r="C81" t="s">
        <v>842</v>
      </c>
      <c r="D81" t="s">
        <v>106</v>
      </c>
      <c r="E81" t="s">
        <v>843</v>
      </c>
      <c r="F81" t="s">
        <v>844</v>
      </c>
      <c r="G81" t="s">
        <v>845</v>
      </c>
      <c r="H81" t="s">
        <v>135</v>
      </c>
      <c r="I81">
        <v>85</v>
      </c>
      <c r="J81" t="s">
        <v>846</v>
      </c>
      <c r="K81" t="s">
        <v>59</v>
      </c>
      <c r="L81">
        <v>3</v>
      </c>
      <c r="M81" t="s">
        <v>112</v>
      </c>
      <c r="N81" t="s">
        <v>439</v>
      </c>
      <c r="O81" t="s">
        <v>362</v>
      </c>
      <c r="P81" t="s">
        <v>92</v>
      </c>
      <c r="Q81" t="s">
        <v>116</v>
      </c>
      <c r="R81" t="s">
        <v>65</v>
      </c>
      <c r="S81" t="s">
        <v>219</v>
      </c>
      <c r="T81" t="s">
        <v>205</v>
      </c>
      <c r="U81" t="s">
        <v>100</v>
      </c>
      <c r="V81" t="s">
        <v>120</v>
      </c>
      <c r="W81">
        <v>41233</v>
      </c>
      <c r="X81">
        <v>40131</v>
      </c>
      <c r="Y81">
        <v>1102</v>
      </c>
      <c r="Z81">
        <v>1170</v>
      </c>
      <c r="AA81" t="s">
        <v>70</v>
      </c>
      <c r="AC81" t="s">
        <v>71</v>
      </c>
      <c r="AD81" t="s">
        <v>121</v>
      </c>
      <c r="AE81">
        <v>9</v>
      </c>
      <c r="AF81">
        <v>66</v>
      </c>
      <c r="AG81">
        <v>99</v>
      </c>
      <c r="AH81" t="s">
        <v>234</v>
      </c>
      <c r="AI81">
        <v>75</v>
      </c>
      <c r="AJ81">
        <v>28</v>
      </c>
      <c r="AK81">
        <v>24</v>
      </c>
      <c r="AL81" t="s">
        <v>97</v>
      </c>
      <c r="AM81">
        <v>85</v>
      </c>
      <c r="AN81" t="s">
        <v>70</v>
      </c>
      <c r="AO81">
        <v>4</v>
      </c>
      <c r="AP81">
        <v>3</v>
      </c>
      <c r="AQ81" t="s">
        <v>687</v>
      </c>
      <c r="AR81" t="s">
        <v>789</v>
      </c>
      <c r="AS81" t="s">
        <v>98</v>
      </c>
      <c r="AT81" t="s">
        <v>125</v>
      </c>
      <c r="AU81" t="s">
        <v>77</v>
      </c>
      <c r="AV81" t="s">
        <v>147</v>
      </c>
      <c r="AX81" t="str">
        <f t="shared" si="2"/>
        <v>Kondhwa</v>
      </c>
    </row>
    <row r="82" spans="1:50" x14ac:dyDescent="0.25">
      <c r="A82" t="s">
        <v>847</v>
      </c>
      <c r="B82" t="s">
        <v>554</v>
      </c>
      <c r="C82" t="s">
        <v>848</v>
      </c>
      <c r="D82" t="s">
        <v>130</v>
      </c>
      <c r="E82" t="s">
        <v>849</v>
      </c>
      <c r="F82" t="s">
        <v>850</v>
      </c>
      <c r="G82" t="s">
        <v>851</v>
      </c>
      <c r="H82" t="s">
        <v>87</v>
      </c>
      <c r="I82">
        <v>62</v>
      </c>
      <c r="J82" t="s">
        <v>852</v>
      </c>
      <c r="K82" t="s">
        <v>294</v>
      </c>
      <c r="L82">
        <v>6</v>
      </c>
      <c r="M82" t="s">
        <v>112</v>
      </c>
      <c r="N82" t="s">
        <v>484</v>
      </c>
      <c r="O82" t="s">
        <v>853</v>
      </c>
      <c r="P82" t="s">
        <v>320</v>
      </c>
      <c r="Q82" t="s">
        <v>64</v>
      </c>
      <c r="R82" t="s">
        <v>140</v>
      </c>
      <c r="S82" t="s">
        <v>219</v>
      </c>
      <c r="T82" t="s">
        <v>67</v>
      </c>
      <c r="U82" t="s">
        <v>261</v>
      </c>
      <c r="V82" t="s">
        <v>426</v>
      </c>
      <c r="W82">
        <v>19610</v>
      </c>
      <c r="X82">
        <v>17405</v>
      </c>
      <c r="Y82">
        <v>2205</v>
      </c>
      <c r="Z82">
        <v>2990</v>
      </c>
      <c r="AA82" t="s">
        <v>98</v>
      </c>
      <c r="AB82" t="s">
        <v>217</v>
      </c>
      <c r="AC82" t="s">
        <v>71</v>
      </c>
      <c r="AD82" t="s">
        <v>121</v>
      </c>
      <c r="AE82">
        <v>4</v>
      </c>
      <c r="AF82">
        <v>40</v>
      </c>
      <c r="AG82">
        <v>92</v>
      </c>
      <c r="AH82" t="s">
        <v>234</v>
      </c>
      <c r="AI82">
        <v>62</v>
      </c>
      <c r="AJ82">
        <v>22</v>
      </c>
      <c r="AK82">
        <v>15</v>
      </c>
      <c r="AL82" t="s">
        <v>122</v>
      </c>
      <c r="AM82">
        <v>68</v>
      </c>
      <c r="AN82" t="s">
        <v>70</v>
      </c>
      <c r="AO82">
        <v>1</v>
      </c>
      <c r="AP82">
        <v>4</v>
      </c>
      <c r="AQ82" t="s">
        <v>274</v>
      </c>
      <c r="AR82" t="s">
        <v>854</v>
      </c>
      <c r="AS82" t="s">
        <v>98</v>
      </c>
      <c r="AT82" t="s">
        <v>125</v>
      </c>
      <c r="AU82" t="s">
        <v>126</v>
      </c>
      <c r="AV82" t="s">
        <v>147</v>
      </c>
      <c r="AX82" t="str">
        <f t="shared" si="2"/>
        <v>Kondhwa</v>
      </c>
    </row>
    <row r="83" spans="1:50" x14ac:dyDescent="0.25">
      <c r="A83" t="s">
        <v>855</v>
      </c>
      <c r="B83" t="s">
        <v>377</v>
      </c>
      <c r="C83" t="s">
        <v>856</v>
      </c>
      <c r="D83" t="s">
        <v>52</v>
      </c>
      <c r="E83" t="s">
        <v>857</v>
      </c>
      <c r="F83" t="s">
        <v>858</v>
      </c>
      <c r="G83" t="s">
        <v>859</v>
      </c>
      <c r="H83" t="s">
        <v>87</v>
      </c>
      <c r="I83">
        <v>95</v>
      </c>
      <c r="J83" t="s">
        <v>860</v>
      </c>
      <c r="K83" t="s">
        <v>59</v>
      </c>
      <c r="L83">
        <v>3</v>
      </c>
      <c r="M83" t="s">
        <v>112</v>
      </c>
      <c r="N83" t="s">
        <v>295</v>
      </c>
      <c r="O83" t="s">
        <v>176</v>
      </c>
      <c r="P83" t="s">
        <v>384</v>
      </c>
      <c r="Q83" t="s">
        <v>116</v>
      </c>
      <c r="R83" t="s">
        <v>65</v>
      </c>
      <c r="S83" t="s">
        <v>232</v>
      </c>
      <c r="T83" t="s">
        <v>273</v>
      </c>
      <c r="U83" t="s">
        <v>143</v>
      </c>
      <c r="V83" t="s">
        <v>415</v>
      </c>
      <c r="W83">
        <v>27420</v>
      </c>
      <c r="X83">
        <v>25321</v>
      </c>
      <c r="Y83">
        <v>2099</v>
      </c>
      <c r="Z83">
        <v>4452</v>
      </c>
      <c r="AA83" t="s">
        <v>98</v>
      </c>
      <c r="AB83" t="s">
        <v>310</v>
      </c>
      <c r="AC83" t="s">
        <v>71</v>
      </c>
      <c r="AD83" t="s">
        <v>72</v>
      </c>
      <c r="AE83">
        <v>7</v>
      </c>
      <c r="AF83">
        <v>84</v>
      </c>
      <c r="AG83">
        <v>84</v>
      </c>
      <c r="AH83" t="s">
        <v>234</v>
      </c>
      <c r="AI83">
        <v>86</v>
      </c>
      <c r="AJ83">
        <v>34</v>
      </c>
      <c r="AK83">
        <v>28</v>
      </c>
      <c r="AL83" t="s">
        <v>122</v>
      </c>
      <c r="AM83">
        <v>82</v>
      </c>
      <c r="AN83" t="s">
        <v>98</v>
      </c>
      <c r="AO83">
        <v>1</v>
      </c>
      <c r="AP83">
        <v>3</v>
      </c>
      <c r="AQ83" t="s">
        <v>825</v>
      </c>
      <c r="AR83" t="s">
        <v>789</v>
      </c>
      <c r="AS83" t="s">
        <v>70</v>
      </c>
      <c r="AT83" t="s">
        <v>125</v>
      </c>
      <c r="AU83" t="s">
        <v>160</v>
      </c>
      <c r="AV83" t="s">
        <v>147</v>
      </c>
      <c r="AX83" t="str">
        <f t="shared" si="2"/>
        <v>Kondhwa</v>
      </c>
    </row>
    <row r="84" spans="1:50" x14ac:dyDescent="0.25">
      <c r="A84" t="s">
        <v>861</v>
      </c>
      <c r="B84" t="s">
        <v>1385</v>
      </c>
      <c r="C84" t="s">
        <v>862</v>
      </c>
      <c r="D84" t="s">
        <v>106</v>
      </c>
      <c r="E84" t="s">
        <v>863</v>
      </c>
      <c r="F84" t="s">
        <v>864</v>
      </c>
      <c r="G84" t="s">
        <v>865</v>
      </c>
      <c r="H84" t="s">
        <v>1393</v>
      </c>
      <c r="I84">
        <v>62</v>
      </c>
      <c r="J84" t="s">
        <v>866</v>
      </c>
      <c r="K84" t="s">
        <v>111</v>
      </c>
      <c r="L84">
        <v>12</v>
      </c>
      <c r="M84" t="s">
        <v>60</v>
      </c>
      <c r="N84" t="s">
        <v>824</v>
      </c>
      <c r="O84" t="s">
        <v>867</v>
      </c>
      <c r="P84" t="s">
        <v>259</v>
      </c>
      <c r="Q84" t="s">
        <v>116</v>
      </c>
      <c r="R84" t="s">
        <v>140</v>
      </c>
      <c r="S84" t="s">
        <v>219</v>
      </c>
      <c r="T84" t="s">
        <v>142</v>
      </c>
      <c r="U84" t="s">
        <v>143</v>
      </c>
      <c r="V84" t="s">
        <v>696</v>
      </c>
      <c r="W84">
        <v>15888</v>
      </c>
      <c r="X84">
        <v>15810</v>
      </c>
      <c r="Y84">
        <v>78</v>
      </c>
      <c r="Z84">
        <v>616</v>
      </c>
      <c r="AA84" t="s">
        <v>98</v>
      </c>
      <c r="AB84" t="s">
        <v>310</v>
      </c>
      <c r="AC84" t="s">
        <v>71</v>
      </c>
      <c r="AD84" t="s">
        <v>191</v>
      </c>
      <c r="AE84">
        <v>3</v>
      </c>
      <c r="AF84">
        <v>68</v>
      </c>
      <c r="AG84">
        <v>90</v>
      </c>
      <c r="AH84" t="s">
        <v>96</v>
      </c>
      <c r="AI84">
        <v>96</v>
      </c>
      <c r="AJ84">
        <v>22</v>
      </c>
      <c r="AK84">
        <v>19</v>
      </c>
      <c r="AL84" t="s">
        <v>97</v>
      </c>
      <c r="AM84">
        <v>86</v>
      </c>
      <c r="AN84" t="s">
        <v>98</v>
      </c>
      <c r="AO84">
        <v>1</v>
      </c>
      <c r="AP84">
        <v>3</v>
      </c>
      <c r="AQ84" t="s">
        <v>868</v>
      </c>
      <c r="AR84" t="s">
        <v>729</v>
      </c>
      <c r="AS84" t="s">
        <v>70</v>
      </c>
      <c r="AT84" t="s">
        <v>76</v>
      </c>
      <c r="AU84" t="s">
        <v>126</v>
      </c>
      <c r="AV84" t="s">
        <v>78</v>
      </c>
      <c r="AW84" t="s">
        <v>276</v>
      </c>
      <c r="AX84" t="str">
        <f t="shared" si="2"/>
        <v>Kondhwa</v>
      </c>
    </row>
    <row r="85" spans="1:50" x14ac:dyDescent="0.25">
      <c r="A85" t="s">
        <v>869</v>
      </c>
      <c r="B85" t="s">
        <v>544</v>
      </c>
      <c r="C85" t="s">
        <v>870</v>
      </c>
      <c r="D85" t="s">
        <v>106</v>
      </c>
      <c r="E85" t="s">
        <v>871</v>
      </c>
      <c r="F85" t="s">
        <v>872</v>
      </c>
      <c r="G85" t="s">
        <v>873</v>
      </c>
      <c r="H85" t="s">
        <v>1392</v>
      </c>
      <c r="I85">
        <v>64</v>
      </c>
      <c r="J85" t="s">
        <v>874</v>
      </c>
      <c r="K85" t="s">
        <v>242</v>
      </c>
      <c r="L85">
        <v>12</v>
      </c>
      <c r="M85" t="s">
        <v>89</v>
      </c>
      <c r="N85" t="s">
        <v>173</v>
      </c>
      <c r="O85" t="s">
        <v>875</v>
      </c>
      <c r="P85" t="s">
        <v>92</v>
      </c>
      <c r="Q85" t="s">
        <v>116</v>
      </c>
      <c r="R85" t="s">
        <v>140</v>
      </c>
      <c r="S85" t="s">
        <v>117</v>
      </c>
      <c r="T85" t="s">
        <v>67</v>
      </c>
      <c r="U85" t="s">
        <v>174</v>
      </c>
      <c r="V85" t="s">
        <v>385</v>
      </c>
      <c r="W85">
        <v>19311</v>
      </c>
      <c r="X85">
        <v>16449</v>
      </c>
      <c r="Y85">
        <v>2862</v>
      </c>
      <c r="Z85">
        <v>4409</v>
      </c>
      <c r="AA85" t="s">
        <v>98</v>
      </c>
      <c r="AB85" t="s">
        <v>352</v>
      </c>
      <c r="AC85" t="s">
        <v>71</v>
      </c>
      <c r="AD85" t="s">
        <v>95</v>
      </c>
      <c r="AE85">
        <v>6</v>
      </c>
      <c r="AF85">
        <v>57</v>
      </c>
      <c r="AG85">
        <v>99</v>
      </c>
      <c r="AH85" t="s">
        <v>73</v>
      </c>
      <c r="AI85">
        <v>78</v>
      </c>
      <c r="AJ85">
        <v>37</v>
      </c>
      <c r="AK85">
        <v>21</v>
      </c>
      <c r="AM85">
        <v>56</v>
      </c>
      <c r="AN85" t="s">
        <v>98</v>
      </c>
      <c r="AO85">
        <v>2</v>
      </c>
      <c r="AP85">
        <v>3</v>
      </c>
      <c r="AQ85" t="s">
        <v>144</v>
      </c>
      <c r="AR85" t="s">
        <v>876</v>
      </c>
      <c r="AS85" t="s">
        <v>70</v>
      </c>
      <c r="AT85" t="s">
        <v>101</v>
      </c>
      <c r="AU85" t="s">
        <v>126</v>
      </c>
      <c r="AV85" t="s">
        <v>78</v>
      </c>
      <c r="AW85" t="s">
        <v>79</v>
      </c>
      <c r="AX85" t="str">
        <f t="shared" si="2"/>
        <v>Kondhwa</v>
      </c>
    </row>
    <row r="86" spans="1:50" x14ac:dyDescent="0.25">
      <c r="A86" t="s">
        <v>877</v>
      </c>
      <c r="B86" t="s">
        <v>569</v>
      </c>
      <c r="C86" t="s">
        <v>878</v>
      </c>
      <c r="D86" t="s">
        <v>130</v>
      </c>
      <c r="E86" t="s">
        <v>879</v>
      </c>
      <c r="F86" t="s">
        <v>880</v>
      </c>
      <c r="G86" t="s">
        <v>881</v>
      </c>
      <c r="H86" t="s">
        <v>87</v>
      </c>
      <c r="I86">
        <v>68</v>
      </c>
      <c r="J86" t="s">
        <v>882</v>
      </c>
      <c r="K86" t="s">
        <v>294</v>
      </c>
      <c r="L86">
        <v>12</v>
      </c>
      <c r="M86" t="s">
        <v>89</v>
      </c>
      <c r="N86" t="s">
        <v>883</v>
      </c>
      <c r="O86" t="s">
        <v>884</v>
      </c>
      <c r="P86" t="s">
        <v>188</v>
      </c>
      <c r="Q86" t="s">
        <v>204</v>
      </c>
      <c r="R86" t="s">
        <v>140</v>
      </c>
      <c r="S86" t="s">
        <v>66</v>
      </c>
      <c r="T86" t="s">
        <v>205</v>
      </c>
      <c r="U86" t="s">
        <v>94</v>
      </c>
      <c r="V86" t="s">
        <v>502</v>
      </c>
      <c r="W86">
        <v>20458</v>
      </c>
      <c r="X86">
        <v>19978</v>
      </c>
      <c r="Y86">
        <v>480</v>
      </c>
      <c r="Z86">
        <v>2660</v>
      </c>
      <c r="AA86" t="s">
        <v>70</v>
      </c>
      <c r="AC86" t="s">
        <v>71</v>
      </c>
      <c r="AD86" t="s">
        <v>72</v>
      </c>
      <c r="AE86">
        <v>3</v>
      </c>
      <c r="AF86">
        <v>88</v>
      </c>
      <c r="AG86">
        <v>93</v>
      </c>
      <c r="AH86" t="s">
        <v>96</v>
      </c>
      <c r="AI86">
        <v>61</v>
      </c>
      <c r="AJ86">
        <v>35</v>
      </c>
      <c r="AK86">
        <v>19</v>
      </c>
      <c r="AM86">
        <v>54</v>
      </c>
      <c r="AN86" t="s">
        <v>98</v>
      </c>
      <c r="AO86">
        <v>4</v>
      </c>
      <c r="AP86">
        <v>1</v>
      </c>
      <c r="AQ86" t="s">
        <v>362</v>
      </c>
      <c r="AR86" t="s">
        <v>189</v>
      </c>
      <c r="AS86" t="s">
        <v>70</v>
      </c>
      <c r="AT86" t="s">
        <v>177</v>
      </c>
      <c r="AU86" t="s">
        <v>77</v>
      </c>
      <c r="AV86" t="s">
        <v>147</v>
      </c>
      <c r="AX86" t="str">
        <f t="shared" si="2"/>
        <v>Kondhwa</v>
      </c>
    </row>
    <row r="87" spans="1:50" x14ac:dyDescent="0.25">
      <c r="A87" t="s">
        <v>885</v>
      </c>
      <c r="B87" t="s">
        <v>1386</v>
      </c>
      <c r="C87" t="s">
        <v>886</v>
      </c>
      <c r="D87" t="s">
        <v>106</v>
      </c>
      <c r="E87" t="s">
        <v>887</v>
      </c>
      <c r="F87" t="s">
        <v>888</v>
      </c>
      <c r="G87" t="s">
        <v>889</v>
      </c>
      <c r="H87" t="s">
        <v>57</v>
      </c>
      <c r="I87">
        <v>65</v>
      </c>
      <c r="J87" t="s">
        <v>890</v>
      </c>
      <c r="K87" t="s">
        <v>294</v>
      </c>
      <c r="L87">
        <v>12</v>
      </c>
      <c r="M87" t="s">
        <v>112</v>
      </c>
      <c r="N87" t="s">
        <v>208</v>
      </c>
      <c r="O87" t="s">
        <v>891</v>
      </c>
      <c r="P87" t="s">
        <v>92</v>
      </c>
      <c r="Q87" t="s">
        <v>204</v>
      </c>
      <c r="R87" t="s">
        <v>65</v>
      </c>
      <c r="S87" t="s">
        <v>66</v>
      </c>
      <c r="T87" t="s">
        <v>118</v>
      </c>
      <c r="U87" t="s">
        <v>892</v>
      </c>
      <c r="V87" t="s">
        <v>306</v>
      </c>
      <c r="W87">
        <v>29622</v>
      </c>
      <c r="X87">
        <v>29427</v>
      </c>
      <c r="Y87">
        <v>195</v>
      </c>
      <c r="Z87">
        <v>1746</v>
      </c>
      <c r="AA87" t="s">
        <v>70</v>
      </c>
      <c r="AC87" t="s">
        <v>71</v>
      </c>
      <c r="AD87" t="s">
        <v>191</v>
      </c>
      <c r="AE87">
        <v>2</v>
      </c>
      <c r="AF87">
        <v>58</v>
      </c>
      <c r="AG87">
        <v>94</v>
      </c>
      <c r="AH87" t="s">
        <v>73</v>
      </c>
      <c r="AI87">
        <v>64</v>
      </c>
      <c r="AJ87">
        <v>52</v>
      </c>
      <c r="AK87">
        <v>26</v>
      </c>
      <c r="AL87" t="s">
        <v>97</v>
      </c>
      <c r="AM87">
        <v>50</v>
      </c>
      <c r="AN87" t="s">
        <v>98</v>
      </c>
      <c r="AO87">
        <v>3</v>
      </c>
      <c r="AP87">
        <v>5</v>
      </c>
      <c r="AQ87" t="s">
        <v>766</v>
      </c>
      <c r="AR87" t="s">
        <v>876</v>
      </c>
      <c r="AS87" t="s">
        <v>70</v>
      </c>
      <c r="AT87" t="s">
        <v>177</v>
      </c>
      <c r="AU87" t="s">
        <v>160</v>
      </c>
      <c r="AV87" t="s">
        <v>147</v>
      </c>
      <c r="AX87" t="str">
        <f t="shared" si="2"/>
        <v>Kondhwa</v>
      </c>
    </row>
    <row r="88" spans="1:50" x14ac:dyDescent="0.25">
      <c r="A88" t="s">
        <v>893</v>
      </c>
      <c r="B88" t="s">
        <v>894</v>
      </c>
      <c r="C88" t="s">
        <v>895</v>
      </c>
      <c r="D88" t="s">
        <v>106</v>
      </c>
      <c r="E88" t="s">
        <v>896</v>
      </c>
      <c r="F88" t="s">
        <v>897</v>
      </c>
      <c r="G88" t="s">
        <v>898</v>
      </c>
      <c r="H88" t="s">
        <v>1392</v>
      </c>
      <c r="I88">
        <v>93</v>
      </c>
      <c r="J88" t="s">
        <v>899</v>
      </c>
      <c r="K88" t="s">
        <v>59</v>
      </c>
      <c r="L88">
        <v>3</v>
      </c>
      <c r="M88" t="s">
        <v>112</v>
      </c>
      <c r="N88" t="s">
        <v>535</v>
      </c>
      <c r="O88" t="s">
        <v>143</v>
      </c>
      <c r="P88" t="s">
        <v>550</v>
      </c>
      <c r="Q88" t="s">
        <v>116</v>
      </c>
      <c r="R88" t="s">
        <v>65</v>
      </c>
      <c r="S88" t="s">
        <v>66</v>
      </c>
      <c r="T88" t="s">
        <v>67</v>
      </c>
      <c r="U88" t="s">
        <v>476</v>
      </c>
      <c r="V88" t="s">
        <v>175</v>
      </c>
      <c r="W88">
        <v>25776</v>
      </c>
      <c r="X88">
        <v>25030</v>
      </c>
      <c r="Y88">
        <v>746</v>
      </c>
      <c r="Z88">
        <v>2823</v>
      </c>
      <c r="AA88" t="s">
        <v>70</v>
      </c>
      <c r="AC88" t="s">
        <v>71</v>
      </c>
      <c r="AD88" t="s">
        <v>72</v>
      </c>
      <c r="AE88">
        <v>8</v>
      </c>
      <c r="AF88">
        <v>42</v>
      </c>
      <c r="AG88">
        <v>95</v>
      </c>
      <c r="AH88" t="s">
        <v>234</v>
      </c>
      <c r="AI88">
        <v>82</v>
      </c>
      <c r="AJ88">
        <v>32</v>
      </c>
      <c r="AK88">
        <v>32</v>
      </c>
      <c r="AL88" t="s">
        <v>97</v>
      </c>
      <c r="AM88">
        <v>100</v>
      </c>
      <c r="AN88" t="s">
        <v>70</v>
      </c>
      <c r="AO88">
        <v>2</v>
      </c>
      <c r="AP88">
        <v>4</v>
      </c>
      <c r="AQ88" t="s">
        <v>397</v>
      </c>
      <c r="AR88" t="s">
        <v>900</v>
      </c>
      <c r="AS88" t="s">
        <v>70</v>
      </c>
      <c r="AT88" t="s">
        <v>76</v>
      </c>
      <c r="AU88" t="s">
        <v>160</v>
      </c>
      <c r="AV88" t="s">
        <v>78</v>
      </c>
      <c r="AW88" t="s">
        <v>79</v>
      </c>
      <c r="AX88" t="str">
        <f t="shared" si="2"/>
        <v>Kondhwa</v>
      </c>
    </row>
    <row r="89" spans="1:50" x14ac:dyDescent="0.25">
      <c r="A89" t="s">
        <v>901</v>
      </c>
      <c r="B89" t="s">
        <v>355</v>
      </c>
      <c r="C89" t="s">
        <v>902</v>
      </c>
      <c r="D89" t="s">
        <v>130</v>
      </c>
      <c r="E89" t="s">
        <v>903</v>
      </c>
      <c r="F89" t="s">
        <v>904</v>
      </c>
      <c r="G89" t="s">
        <v>905</v>
      </c>
      <c r="H89" t="s">
        <v>135</v>
      </c>
      <c r="I89">
        <v>88</v>
      </c>
      <c r="J89" t="s">
        <v>906</v>
      </c>
      <c r="K89" t="s">
        <v>59</v>
      </c>
      <c r="L89">
        <v>6</v>
      </c>
      <c r="M89" t="s">
        <v>112</v>
      </c>
      <c r="N89" t="s">
        <v>157</v>
      </c>
      <c r="O89" t="s">
        <v>907</v>
      </c>
      <c r="P89" t="s">
        <v>188</v>
      </c>
      <c r="Q89" t="s">
        <v>204</v>
      </c>
      <c r="R89" t="s">
        <v>140</v>
      </c>
      <c r="S89" t="s">
        <v>232</v>
      </c>
      <c r="T89" t="s">
        <v>273</v>
      </c>
      <c r="U89" t="s">
        <v>467</v>
      </c>
      <c r="V89" t="s">
        <v>263</v>
      </c>
      <c r="W89">
        <v>42342</v>
      </c>
      <c r="X89">
        <v>40311</v>
      </c>
      <c r="Y89">
        <v>2031</v>
      </c>
      <c r="Z89">
        <v>4137</v>
      </c>
      <c r="AA89" t="s">
        <v>98</v>
      </c>
      <c r="AB89" t="s">
        <v>333</v>
      </c>
      <c r="AC89" t="s">
        <v>71</v>
      </c>
      <c r="AD89" t="s">
        <v>121</v>
      </c>
      <c r="AE89">
        <v>6</v>
      </c>
      <c r="AF89">
        <v>48</v>
      </c>
      <c r="AG89">
        <v>86</v>
      </c>
      <c r="AH89" t="s">
        <v>234</v>
      </c>
      <c r="AI89">
        <v>73</v>
      </c>
      <c r="AJ89">
        <v>28</v>
      </c>
      <c r="AK89">
        <v>15</v>
      </c>
      <c r="AL89" t="s">
        <v>122</v>
      </c>
      <c r="AM89">
        <v>53</v>
      </c>
      <c r="AN89" t="s">
        <v>70</v>
      </c>
      <c r="AO89">
        <v>2</v>
      </c>
      <c r="AP89">
        <v>3</v>
      </c>
      <c r="AQ89" t="s">
        <v>397</v>
      </c>
      <c r="AR89" t="s">
        <v>144</v>
      </c>
      <c r="AS89" t="s">
        <v>70</v>
      </c>
      <c r="AT89" t="s">
        <v>287</v>
      </c>
      <c r="AU89" t="s">
        <v>126</v>
      </c>
      <c r="AV89" t="s">
        <v>147</v>
      </c>
      <c r="AX89" t="str">
        <f t="shared" si="2"/>
        <v>Kondhwa</v>
      </c>
    </row>
    <row r="90" spans="1:50" x14ac:dyDescent="0.25">
      <c r="A90" t="s">
        <v>908</v>
      </c>
      <c r="B90" t="s">
        <v>409</v>
      </c>
      <c r="C90" t="s">
        <v>266</v>
      </c>
      <c r="D90" t="s">
        <v>52</v>
      </c>
      <c r="E90" t="s">
        <v>909</v>
      </c>
      <c r="F90" t="s">
        <v>910</v>
      </c>
      <c r="G90" t="s">
        <v>911</v>
      </c>
      <c r="H90" t="s">
        <v>135</v>
      </c>
      <c r="I90">
        <v>67</v>
      </c>
      <c r="J90" t="s">
        <v>912</v>
      </c>
      <c r="K90" t="s">
        <v>294</v>
      </c>
      <c r="L90">
        <v>6</v>
      </c>
      <c r="M90" t="s">
        <v>112</v>
      </c>
      <c r="N90" t="s">
        <v>457</v>
      </c>
      <c r="O90" t="s">
        <v>868</v>
      </c>
      <c r="P90" t="s">
        <v>63</v>
      </c>
      <c r="Q90" t="s">
        <v>204</v>
      </c>
      <c r="R90" t="s">
        <v>140</v>
      </c>
      <c r="S90" t="s">
        <v>232</v>
      </c>
      <c r="T90" t="s">
        <v>67</v>
      </c>
      <c r="U90" t="s">
        <v>566</v>
      </c>
      <c r="V90" t="s">
        <v>502</v>
      </c>
      <c r="W90">
        <v>29354</v>
      </c>
      <c r="X90">
        <v>28991</v>
      </c>
      <c r="Y90">
        <v>363</v>
      </c>
      <c r="Z90">
        <v>2575</v>
      </c>
      <c r="AA90" t="s">
        <v>98</v>
      </c>
      <c r="AB90" t="s">
        <v>120</v>
      </c>
      <c r="AC90" t="s">
        <v>71</v>
      </c>
      <c r="AD90" t="s">
        <v>72</v>
      </c>
      <c r="AE90">
        <v>2</v>
      </c>
      <c r="AF90">
        <v>44</v>
      </c>
      <c r="AG90">
        <v>77</v>
      </c>
      <c r="AH90" t="s">
        <v>234</v>
      </c>
      <c r="AI90">
        <v>96</v>
      </c>
      <c r="AJ90">
        <v>39</v>
      </c>
      <c r="AK90">
        <v>28</v>
      </c>
      <c r="AL90" t="s">
        <v>97</v>
      </c>
      <c r="AM90">
        <v>71</v>
      </c>
      <c r="AN90" t="s">
        <v>70</v>
      </c>
      <c r="AO90">
        <v>1</v>
      </c>
      <c r="AP90">
        <v>4</v>
      </c>
      <c r="AQ90" t="s">
        <v>795</v>
      </c>
      <c r="AR90" t="s">
        <v>342</v>
      </c>
      <c r="AS90" t="s">
        <v>70</v>
      </c>
      <c r="AT90" t="s">
        <v>125</v>
      </c>
      <c r="AU90" t="s">
        <v>77</v>
      </c>
      <c r="AV90" t="s">
        <v>78</v>
      </c>
      <c r="AW90" t="s">
        <v>79</v>
      </c>
      <c r="AX90" t="str">
        <f t="shared" si="2"/>
        <v>Kondhwa</v>
      </c>
    </row>
    <row r="91" spans="1:50" x14ac:dyDescent="0.25">
      <c r="A91" t="s">
        <v>913</v>
      </c>
      <c r="B91" t="s">
        <v>131</v>
      </c>
      <c r="C91" t="s">
        <v>914</v>
      </c>
      <c r="D91" t="s">
        <v>106</v>
      </c>
      <c r="E91" t="s">
        <v>916</v>
      </c>
      <c r="F91" t="s">
        <v>917</v>
      </c>
      <c r="G91" t="s">
        <v>918</v>
      </c>
      <c r="H91" t="s">
        <v>87</v>
      </c>
      <c r="I91">
        <v>64</v>
      </c>
      <c r="J91" t="s">
        <v>919</v>
      </c>
      <c r="K91" t="s">
        <v>111</v>
      </c>
      <c r="L91">
        <v>3</v>
      </c>
      <c r="M91" t="s">
        <v>60</v>
      </c>
      <c r="N91" t="s">
        <v>246</v>
      </c>
      <c r="O91" t="s">
        <v>190</v>
      </c>
      <c r="P91" t="s">
        <v>320</v>
      </c>
      <c r="Q91" t="s">
        <v>64</v>
      </c>
      <c r="R91" t="s">
        <v>65</v>
      </c>
      <c r="S91" t="s">
        <v>141</v>
      </c>
      <c r="T91" t="s">
        <v>118</v>
      </c>
      <c r="U91" t="s">
        <v>170</v>
      </c>
      <c r="V91" t="s">
        <v>332</v>
      </c>
      <c r="W91">
        <v>40169</v>
      </c>
      <c r="X91">
        <v>40126</v>
      </c>
      <c r="Y91">
        <v>43</v>
      </c>
      <c r="Z91">
        <v>745</v>
      </c>
      <c r="AA91" t="s">
        <v>70</v>
      </c>
      <c r="AC91" t="s">
        <v>71</v>
      </c>
      <c r="AD91" t="s">
        <v>121</v>
      </c>
      <c r="AE91">
        <v>8</v>
      </c>
      <c r="AF91">
        <v>59</v>
      </c>
      <c r="AG91">
        <v>62</v>
      </c>
      <c r="AH91" t="s">
        <v>96</v>
      </c>
      <c r="AI91">
        <v>75</v>
      </c>
      <c r="AJ91">
        <v>42</v>
      </c>
      <c r="AK91">
        <v>36</v>
      </c>
      <c r="AL91" t="s">
        <v>97</v>
      </c>
      <c r="AM91">
        <v>85</v>
      </c>
      <c r="AN91" t="s">
        <v>98</v>
      </c>
      <c r="AO91">
        <v>5</v>
      </c>
      <c r="AP91">
        <v>5</v>
      </c>
      <c r="AQ91" t="s">
        <v>352</v>
      </c>
      <c r="AR91" t="s">
        <v>144</v>
      </c>
      <c r="AS91" t="s">
        <v>70</v>
      </c>
      <c r="AT91" t="s">
        <v>76</v>
      </c>
      <c r="AU91" t="s">
        <v>77</v>
      </c>
      <c r="AV91" t="s">
        <v>78</v>
      </c>
      <c r="AW91" t="s">
        <v>276</v>
      </c>
      <c r="AX91" t="str">
        <f t="shared" si="2"/>
        <v>Kondhwa</v>
      </c>
    </row>
    <row r="92" spans="1:50" x14ac:dyDescent="0.25">
      <c r="A92" t="s">
        <v>920</v>
      </c>
      <c r="B92" t="s">
        <v>179</v>
      </c>
      <c r="C92" t="s">
        <v>921</v>
      </c>
      <c r="D92" t="s">
        <v>106</v>
      </c>
      <c r="E92" t="s">
        <v>922</v>
      </c>
      <c r="F92" t="s">
        <v>923</v>
      </c>
      <c r="G92" t="s">
        <v>924</v>
      </c>
      <c r="H92" t="s">
        <v>135</v>
      </c>
      <c r="I92">
        <v>69</v>
      </c>
      <c r="J92" t="s">
        <v>925</v>
      </c>
      <c r="K92" t="s">
        <v>169</v>
      </c>
      <c r="L92">
        <v>3</v>
      </c>
      <c r="M92" t="s">
        <v>89</v>
      </c>
      <c r="N92" t="s">
        <v>137</v>
      </c>
      <c r="O92" t="s">
        <v>926</v>
      </c>
      <c r="P92" t="s">
        <v>320</v>
      </c>
      <c r="Q92" t="s">
        <v>64</v>
      </c>
      <c r="R92" t="s">
        <v>65</v>
      </c>
      <c r="S92" t="s">
        <v>66</v>
      </c>
      <c r="T92" t="s">
        <v>273</v>
      </c>
      <c r="U92" t="s">
        <v>386</v>
      </c>
      <c r="V92" t="s">
        <v>467</v>
      </c>
      <c r="W92">
        <v>43998</v>
      </c>
      <c r="X92">
        <v>41712</v>
      </c>
      <c r="Y92">
        <v>2286</v>
      </c>
      <c r="Z92">
        <v>2947</v>
      </c>
      <c r="AA92" t="s">
        <v>70</v>
      </c>
      <c r="AC92" t="s">
        <v>71</v>
      </c>
      <c r="AD92" t="s">
        <v>72</v>
      </c>
      <c r="AE92">
        <v>4</v>
      </c>
      <c r="AF92">
        <v>45</v>
      </c>
      <c r="AG92">
        <v>86</v>
      </c>
      <c r="AH92" t="s">
        <v>73</v>
      </c>
      <c r="AI92">
        <v>79</v>
      </c>
      <c r="AJ92">
        <v>27</v>
      </c>
      <c r="AK92">
        <v>22</v>
      </c>
      <c r="AL92" t="s">
        <v>122</v>
      </c>
      <c r="AM92">
        <v>81</v>
      </c>
      <c r="AN92" t="s">
        <v>98</v>
      </c>
      <c r="AO92">
        <v>4</v>
      </c>
      <c r="AP92">
        <v>2</v>
      </c>
      <c r="AQ92" t="s">
        <v>727</v>
      </c>
      <c r="AR92" t="s">
        <v>309</v>
      </c>
      <c r="AS92" t="s">
        <v>70</v>
      </c>
      <c r="AT92" t="s">
        <v>287</v>
      </c>
      <c r="AU92" t="s">
        <v>77</v>
      </c>
      <c r="AV92" t="s">
        <v>78</v>
      </c>
      <c r="AW92" t="s">
        <v>102</v>
      </c>
      <c r="AX92" t="str">
        <f t="shared" si="2"/>
        <v>Kondhwa</v>
      </c>
    </row>
    <row r="93" spans="1:50" x14ac:dyDescent="0.25">
      <c r="A93" t="s">
        <v>927</v>
      </c>
      <c r="B93" t="s">
        <v>313</v>
      </c>
      <c r="C93" t="s">
        <v>928</v>
      </c>
      <c r="D93" t="s">
        <v>106</v>
      </c>
      <c r="E93" t="s">
        <v>929</v>
      </c>
      <c r="F93" t="s">
        <v>930</v>
      </c>
      <c r="G93" t="s">
        <v>931</v>
      </c>
      <c r="H93" t="s">
        <v>1392</v>
      </c>
      <c r="I93">
        <v>70</v>
      </c>
      <c r="J93" t="s">
        <v>932</v>
      </c>
      <c r="K93" t="s">
        <v>59</v>
      </c>
      <c r="L93">
        <v>6</v>
      </c>
      <c r="M93" t="s">
        <v>112</v>
      </c>
      <c r="N93" t="s">
        <v>382</v>
      </c>
      <c r="O93" t="s">
        <v>383</v>
      </c>
      <c r="P93" t="s">
        <v>550</v>
      </c>
      <c r="Q93" t="s">
        <v>64</v>
      </c>
      <c r="R93" t="s">
        <v>65</v>
      </c>
      <c r="S93" t="s">
        <v>219</v>
      </c>
      <c r="T93" t="s">
        <v>273</v>
      </c>
      <c r="U93" t="s">
        <v>854</v>
      </c>
      <c r="V93" t="s">
        <v>157</v>
      </c>
      <c r="W93">
        <v>42034</v>
      </c>
      <c r="X93">
        <v>41968</v>
      </c>
      <c r="Y93">
        <v>66</v>
      </c>
      <c r="Z93">
        <v>89</v>
      </c>
      <c r="AA93" t="s">
        <v>70</v>
      </c>
      <c r="AC93" t="s">
        <v>71</v>
      </c>
      <c r="AD93" t="s">
        <v>72</v>
      </c>
      <c r="AE93">
        <v>1</v>
      </c>
      <c r="AF93">
        <v>43</v>
      </c>
      <c r="AG93">
        <v>75</v>
      </c>
      <c r="AH93" t="s">
        <v>73</v>
      </c>
      <c r="AI93">
        <v>96</v>
      </c>
      <c r="AJ93">
        <v>57</v>
      </c>
      <c r="AK93">
        <v>39</v>
      </c>
      <c r="AL93" t="s">
        <v>97</v>
      </c>
      <c r="AM93">
        <v>68</v>
      </c>
      <c r="AN93" t="s">
        <v>98</v>
      </c>
      <c r="AO93">
        <v>3</v>
      </c>
      <c r="AP93">
        <v>4</v>
      </c>
      <c r="AQ93" t="s">
        <v>306</v>
      </c>
      <c r="AR93" t="s">
        <v>99</v>
      </c>
      <c r="AS93" t="s">
        <v>98</v>
      </c>
      <c r="AT93" t="s">
        <v>76</v>
      </c>
      <c r="AU93" t="s">
        <v>160</v>
      </c>
      <c r="AV93" t="s">
        <v>78</v>
      </c>
      <c r="AW93" t="s">
        <v>102</v>
      </c>
      <c r="AX93" t="str">
        <f t="shared" si="2"/>
        <v>Kondhwa</v>
      </c>
    </row>
    <row r="94" spans="1:50" x14ac:dyDescent="0.25">
      <c r="A94" t="s">
        <v>933</v>
      </c>
      <c r="B94" t="s">
        <v>344</v>
      </c>
      <c r="C94" t="s">
        <v>723</v>
      </c>
      <c r="D94" t="s">
        <v>130</v>
      </c>
      <c r="E94" t="s">
        <v>934</v>
      </c>
      <c r="F94" t="s">
        <v>935</v>
      </c>
      <c r="G94" t="s">
        <v>936</v>
      </c>
      <c r="H94" t="s">
        <v>87</v>
      </c>
      <c r="I94">
        <v>63</v>
      </c>
      <c r="J94" t="s">
        <v>937</v>
      </c>
      <c r="K94" t="s">
        <v>111</v>
      </c>
      <c r="L94">
        <v>6</v>
      </c>
      <c r="M94" t="s">
        <v>60</v>
      </c>
      <c r="N94" t="s">
        <v>243</v>
      </c>
      <c r="O94" t="s">
        <v>244</v>
      </c>
      <c r="P94" t="s">
        <v>63</v>
      </c>
      <c r="Q94" t="s">
        <v>204</v>
      </c>
      <c r="R94" t="s">
        <v>65</v>
      </c>
      <c r="S94" t="s">
        <v>219</v>
      </c>
      <c r="T94" t="s">
        <v>142</v>
      </c>
      <c r="U94" t="s">
        <v>938</v>
      </c>
      <c r="V94" t="s">
        <v>938</v>
      </c>
      <c r="W94">
        <v>40019</v>
      </c>
      <c r="X94">
        <v>38945</v>
      </c>
      <c r="Y94">
        <v>1074</v>
      </c>
      <c r="Z94">
        <v>2647</v>
      </c>
      <c r="AA94" t="s">
        <v>70</v>
      </c>
      <c r="AC94" t="s">
        <v>71</v>
      </c>
      <c r="AD94" t="s">
        <v>95</v>
      </c>
      <c r="AE94">
        <v>6</v>
      </c>
      <c r="AF94">
        <v>83</v>
      </c>
      <c r="AG94">
        <v>88</v>
      </c>
      <c r="AH94" t="s">
        <v>73</v>
      </c>
      <c r="AI94">
        <v>81</v>
      </c>
      <c r="AJ94">
        <v>43</v>
      </c>
      <c r="AK94">
        <v>37</v>
      </c>
      <c r="AL94" t="s">
        <v>122</v>
      </c>
      <c r="AM94">
        <v>86</v>
      </c>
      <c r="AN94" t="s">
        <v>98</v>
      </c>
      <c r="AO94">
        <v>5</v>
      </c>
      <c r="AP94">
        <v>5</v>
      </c>
      <c r="AQ94" t="s">
        <v>900</v>
      </c>
      <c r="AR94" t="s">
        <v>876</v>
      </c>
      <c r="AS94" t="s">
        <v>70</v>
      </c>
      <c r="AT94" t="s">
        <v>125</v>
      </c>
      <c r="AU94" t="s">
        <v>160</v>
      </c>
      <c r="AV94" t="s">
        <v>78</v>
      </c>
      <c r="AW94" t="s">
        <v>276</v>
      </c>
      <c r="AX94" t="str">
        <f t="shared" si="2"/>
        <v>Kondhwa</v>
      </c>
    </row>
    <row r="95" spans="1:50" x14ac:dyDescent="0.25">
      <c r="A95" t="s">
        <v>939</v>
      </c>
      <c r="B95" t="s">
        <v>222</v>
      </c>
      <c r="C95" t="s">
        <v>940</v>
      </c>
      <c r="D95" t="s">
        <v>106</v>
      </c>
      <c r="E95" t="s">
        <v>942</v>
      </c>
      <c r="F95" t="s">
        <v>943</v>
      </c>
      <c r="G95" t="s">
        <v>944</v>
      </c>
      <c r="H95" t="s">
        <v>1393</v>
      </c>
      <c r="I95">
        <v>86</v>
      </c>
      <c r="J95" t="s">
        <v>945</v>
      </c>
      <c r="K95" t="s">
        <v>169</v>
      </c>
      <c r="L95">
        <v>3</v>
      </c>
      <c r="M95" t="s">
        <v>112</v>
      </c>
      <c r="N95" t="s">
        <v>824</v>
      </c>
      <c r="O95" t="s">
        <v>286</v>
      </c>
      <c r="P95" t="s">
        <v>550</v>
      </c>
      <c r="Q95" t="s">
        <v>116</v>
      </c>
      <c r="R95" t="s">
        <v>65</v>
      </c>
      <c r="S95" t="s">
        <v>66</v>
      </c>
      <c r="T95" t="s">
        <v>118</v>
      </c>
      <c r="U95" t="s">
        <v>946</v>
      </c>
      <c r="V95" t="s">
        <v>484</v>
      </c>
      <c r="W95">
        <v>17440</v>
      </c>
      <c r="X95">
        <v>16885</v>
      </c>
      <c r="Y95">
        <v>555</v>
      </c>
      <c r="Z95">
        <v>624</v>
      </c>
      <c r="AA95" t="s">
        <v>98</v>
      </c>
      <c r="AB95" t="s">
        <v>372</v>
      </c>
      <c r="AC95" t="s">
        <v>71</v>
      </c>
      <c r="AD95" t="s">
        <v>95</v>
      </c>
      <c r="AE95">
        <v>6</v>
      </c>
      <c r="AF95">
        <v>60</v>
      </c>
      <c r="AG95">
        <v>62</v>
      </c>
      <c r="AH95" t="s">
        <v>73</v>
      </c>
      <c r="AI95">
        <v>97</v>
      </c>
      <c r="AJ95">
        <v>22</v>
      </c>
      <c r="AK95">
        <v>15</v>
      </c>
      <c r="AL95" t="s">
        <v>122</v>
      </c>
      <c r="AM95">
        <v>68</v>
      </c>
      <c r="AN95" t="s">
        <v>70</v>
      </c>
      <c r="AO95">
        <v>1</v>
      </c>
      <c r="AP95">
        <v>5</v>
      </c>
      <c r="AQ95" t="s">
        <v>207</v>
      </c>
      <c r="AR95" t="s">
        <v>137</v>
      </c>
      <c r="AS95" t="s">
        <v>70</v>
      </c>
      <c r="AT95" t="s">
        <v>287</v>
      </c>
      <c r="AU95" t="s">
        <v>126</v>
      </c>
      <c r="AV95" t="s">
        <v>78</v>
      </c>
      <c r="AW95" t="s">
        <v>102</v>
      </c>
      <c r="AX95" t="str">
        <f t="shared" si="2"/>
        <v>Kondhwa</v>
      </c>
    </row>
    <row r="96" spans="1:50" x14ac:dyDescent="0.25">
      <c r="A96" t="s">
        <v>947</v>
      </c>
      <c r="B96" t="s">
        <v>151</v>
      </c>
      <c r="C96" t="s">
        <v>948</v>
      </c>
      <c r="D96" t="s">
        <v>52</v>
      </c>
      <c r="E96" t="s">
        <v>949</v>
      </c>
      <c r="F96" t="s">
        <v>950</v>
      </c>
      <c r="G96" t="s">
        <v>951</v>
      </c>
      <c r="H96" t="s">
        <v>135</v>
      </c>
      <c r="I96">
        <v>75</v>
      </c>
      <c r="J96" t="s">
        <v>952</v>
      </c>
      <c r="K96" t="s">
        <v>111</v>
      </c>
      <c r="L96">
        <v>12</v>
      </c>
      <c r="M96" t="s">
        <v>60</v>
      </c>
      <c r="N96" t="s">
        <v>883</v>
      </c>
      <c r="O96" t="s">
        <v>884</v>
      </c>
      <c r="P96" t="s">
        <v>63</v>
      </c>
      <c r="Q96" t="s">
        <v>116</v>
      </c>
      <c r="R96" t="s">
        <v>140</v>
      </c>
      <c r="S96" t="s">
        <v>66</v>
      </c>
      <c r="T96" t="s">
        <v>205</v>
      </c>
      <c r="U96" t="s">
        <v>263</v>
      </c>
      <c r="V96" t="s">
        <v>217</v>
      </c>
      <c r="W96">
        <v>16030</v>
      </c>
      <c r="X96">
        <v>15752</v>
      </c>
      <c r="Y96">
        <v>278</v>
      </c>
      <c r="Z96">
        <v>678</v>
      </c>
      <c r="AA96" t="s">
        <v>70</v>
      </c>
      <c r="AC96" t="s">
        <v>71</v>
      </c>
      <c r="AD96" t="s">
        <v>191</v>
      </c>
      <c r="AE96">
        <v>5</v>
      </c>
      <c r="AF96">
        <v>55</v>
      </c>
      <c r="AG96">
        <v>92</v>
      </c>
      <c r="AH96" t="s">
        <v>73</v>
      </c>
      <c r="AI96">
        <v>63</v>
      </c>
      <c r="AJ96">
        <v>43</v>
      </c>
      <c r="AK96">
        <v>40</v>
      </c>
      <c r="AL96" t="s">
        <v>97</v>
      </c>
      <c r="AM96">
        <v>93</v>
      </c>
      <c r="AN96" t="s">
        <v>70</v>
      </c>
      <c r="AO96">
        <v>5</v>
      </c>
      <c r="AP96">
        <v>4</v>
      </c>
      <c r="AQ96" t="s">
        <v>477</v>
      </c>
      <c r="AR96" t="s">
        <v>119</v>
      </c>
      <c r="AS96" t="s">
        <v>98</v>
      </c>
      <c r="AT96" t="s">
        <v>125</v>
      </c>
      <c r="AU96" t="s">
        <v>160</v>
      </c>
      <c r="AV96" t="s">
        <v>78</v>
      </c>
      <c r="AW96" t="s">
        <v>276</v>
      </c>
      <c r="AX96" t="str">
        <f t="shared" si="2"/>
        <v>Kondhwa</v>
      </c>
    </row>
    <row r="97" spans="1:50" x14ac:dyDescent="0.25">
      <c r="A97" t="s">
        <v>953</v>
      </c>
      <c r="B97" t="s">
        <v>389</v>
      </c>
      <c r="C97" t="s">
        <v>954</v>
      </c>
      <c r="D97" t="s">
        <v>106</v>
      </c>
      <c r="E97" t="s">
        <v>955</v>
      </c>
      <c r="F97" t="s">
        <v>956</v>
      </c>
      <c r="G97" t="s">
        <v>957</v>
      </c>
      <c r="H97" t="s">
        <v>1392</v>
      </c>
      <c r="I97">
        <v>88</v>
      </c>
      <c r="J97" t="s">
        <v>958</v>
      </c>
      <c r="K97" t="s">
        <v>294</v>
      </c>
      <c r="L97">
        <v>3</v>
      </c>
      <c r="M97" t="s">
        <v>89</v>
      </c>
      <c r="N97" t="s">
        <v>332</v>
      </c>
      <c r="O97" t="s">
        <v>235</v>
      </c>
      <c r="P97" t="s">
        <v>188</v>
      </c>
      <c r="Q97" t="s">
        <v>116</v>
      </c>
      <c r="R97" t="s">
        <v>65</v>
      </c>
      <c r="S97" t="s">
        <v>219</v>
      </c>
      <c r="T97" t="s">
        <v>118</v>
      </c>
      <c r="U97" t="s">
        <v>189</v>
      </c>
      <c r="V97" t="s">
        <v>189</v>
      </c>
      <c r="W97">
        <v>25558</v>
      </c>
      <c r="X97">
        <v>23782</v>
      </c>
      <c r="Y97">
        <v>1776</v>
      </c>
      <c r="Z97">
        <v>3810</v>
      </c>
      <c r="AA97" t="s">
        <v>70</v>
      </c>
      <c r="AC97" t="s">
        <v>71</v>
      </c>
      <c r="AD97" t="s">
        <v>191</v>
      </c>
      <c r="AE97">
        <v>6</v>
      </c>
      <c r="AF97">
        <v>46</v>
      </c>
      <c r="AG97">
        <v>93</v>
      </c>
      <c r="AH97" t="s">
        <v>96</v>
      </c>
      <c r="AI97">
        <v>92</v>
      </c>
      <c r="AJ97">
        <v>52</v>
      </c>
      <c r="AK97">
        <v>29</v>
      </c>
      <c r="AL97" t="s">
        <v>97</v>
      </c>
      <c r="AM97">
        <v>55</v>
      </c>
      <c r="AN97" t="s">
        <v>98</v>
      </c>
      <c r="AO97">
        <v>2</v>
      </c>
      <c r="AP97">
        <v>3</v>
      </c>
      <c r="AQ97" t="s">
        <v>959</v>
      </c>
      <c r="AR97" t="s">
        <v>427</v>
      </c>
      <c r="AS97" t="s">
        <v>98</v>
      </c>
      <c r="AT97" t="s">
        <v>177</v>
      </c>
      <c r="AU97" t="s">
        <v>160</v>
      </c>
      <c r="AV97" t="s">
        <v>78</v>
      </c>
      <c r="AW97" t="s">
        <v>79</v>
      </c>
      <c r="AX97" t="str">
        <f t="shared" si="2"/>
        <v>Kondhwa</v>
      </c>
    </row>
    <row r="98" spans="1:50" x14ac:dyDescent="0.25">
      <c r="A98" t="s">
        <v>960</v>
      </c>
      <c r="B98" t="s">
        <v>364</v>
      </c>
      <c r="C98" t="s">
        <v>961</v>
      </c>
      <c r="D98" t="s">
        <v>130</v>
      </c>
      <c r="E98" t="s">
        <v>962</v>
      </c>
      <c r="F98" t="s">
        <v>963</v>
      </c>
      <c r="G98" t="s">
        <v>964</v>
      </c>
      <c r="H98" t="s">
        <v>1393</v>
      </c>
      <c r="I98">
        <v>71</v>
      </c>
      <c r="J98" t="s">
        <v>965</v>
      </c>
      <c r="K98" t="s">
        <v>242</v>
      </c>
      <c r="L98">
        <v>3</v>
      </c>
      <c r="M98" t="s">
        <v>112</v>
      </c>
      <c r="N98" t="s">
        <v>832</v>
      </c>
      <c r="O98" t="s">
        <v>966</v>
      </c>
      <c r="P98" t="s">
        <v>231</v>
      </c>
      <c r="Q98" t="s">
        <v>64</v>
      </c>
      <c r="R98" t="s">
        <v>65</v>
      </c>
      <c r="S98" t="s">
        <v>219</v>
      </c>
      <c r="T98" t="s">
        <v>273</v>
      </c>
      <c r="U98" t="s">
        <v>351</v>
      </c>
      <c r="V98" t="s">
        <v>68</v>
      </c>
      <c r="W98">
        <v>43187</v>
      </c>
      <c r="X98">
        <v>40324</v>
      </c>
      <c r="Y98">
        <v>2863</v>
      </c>
      <c r="Z98">
        <v>2874</v>
      </c>
      <c r="AA98" t="s">
        <v>98</v>
      </c>
      <c r="AB98" t="s">
        <v>517</v>
      </c>
      <c r="AC98" t="s">
        <v>71</v>
      </c>
      <c r="AD98" t="s">
        <v>72</v>
      </c>
      <c r="AE98">
        <v>6</v>
      </c>
      <c r="AF98">
        <v>70</v>
      </c>
      <c r="AG98">
        <v>82</v>
      </c>
      <c r="AH98" t="s">
        <v>234</v>
      </c>
      <c r="AI98">
        <v>81</v>
      </c>
      <c r="AJ98">
        <v>23</v>
      </c>
      <c r="AK98">
        <v>18</v>
      </c>
      <c r="AM98">
        <v>78</v>
      </c>
      <c r="AN98" t="s">
        <v>70</v>
      </c>
      <c r="AO98">
        <v>5</v>
      </c>
      <c r="AP98">
        <v>5</v>
      </c>
      <c r="AQ98" t="s">
        <v>429</v>
      </c>
      <c r="AR98" t="s">
        <v>202</v>
      </c>
      <c r="AS98" t="s">
        <v>98</v>
      </c>
      <c r="AT98" t="s">
        <v>177</v>
      </c>
      <c r="AU98" t="s">
        <v>160</v>
      </c>
      <c r="AV98" t="s">
        <v>147</v>
      </c>
      <c r="AX98" t="str">
        <f t="shared" si="2"/>
        <v>Kondhwa</v>
      </c>
    </row>
    <row r="99" spans="1:50" x14ac:dyDescent="0.25">
      <c r="A99" t="s">
        <v>967</v>
      </c>
      <c r="B99" t="s">
        <v>104</v>
      </c>
      <c r="C99" t="s">
        <v>180</v>
      </c>
      <c r="D99" t="s">
        <v>106</v>
      </c>
      <c r="E99" t="s">
        <v>968</v>
      </c>
      <c r="F99" t="s">
        <v>969</v>
      </c>
      <c r="G99" t="s">
        <v>822</v>
      </c>
      <c r="H99" t="s">
        <v>57</v>
      </c>
      <c r="I99">
        <v>60</v>
      </c>
      <c r="J99" t="s">
        <v>970</v>
      </c>
      <c r="K99" t="s">
        <v>169</v>
      </c>
      <c r="L99">
        <v>6</v>
      </c>
      <c r="M99" t="s">
        <v>60</v>
      </c>
      <c r="N99" t="s">
        <v>173</v>
      </c>
      <c r="O99" t="s">
        <v>971</v>
      </c>
      <c r="P99" t="s">
        <v>285</v>
      </c>
      <c r="Q99" t="s">
        <v>204</v>
      </c>
      <c r="R99" t="s">
        <v>65</v>
      </c>
      <c r="S99" t="s">
        <v>219</v>
      </c>
      <c r="T99" t="s">
        <v>273</v>
      </c>
      <c r="U99" t="s">
        <v>217</v>
      </c>
      <c r="V99" t="s">
        <v>156</v>
      </c>
      <c r="W99">
        <v>49566</v>
      </c>
      <c r="X99">
        <v>46900</v>
      </c>
      <c r="Y99">
        <v>2666</v>
      </c>
      <c r="Z99">
        <v>3546</v>
      </c>
      <c r="AA99" t="s">
        <v>70</v>
      </c>
      <c r="AC99" t="s">
        <v>71</v>
      </c>
      <c r="AD99" t="s">
        <v>95</v>
      </c>
      <c r="AE99">
        <v>6</v>
      </c>
      <c r="AF99">
        <v>55</v>
      </c>
      <c r="AG99">
        <v>55</v>
      </c>
      <c r="AH99" t="s">
        <v>73</v>
      </c>
      <c r="AI99">
        <v>100</v>
      </c>
      <c r="AJ99">
        <v>31</v>
      </c>
      <c r="AK99">
        <v>15</v>
      </c>
      <c r="AL99" t="s">
        <v>122</v>
      </c>
      <c r="AM99">
        <v>48</v>
      </c>
      <c r="AN99" t="s">
        <v>70</v>
      </c>
      <c r="AO99">
        <v>1</v>
      </c>
      <c r="AP99">
        <v>1</v>
      </c>
      <c r="AQ99" t="s">
        <v>727</v>
      </c>
      <c r="AR99" t="s">
        <v>144</v>
      </c>
      <c r="AS99" t="s">
        <v>98</v>
      </c>
      <c r="AT99" t="s">
        <v>177</v>
      </c>
      <c r="AU99" t="s">
        <v>160</v>
      </c>
      <c r="AV99" t="s">
        <v>147</v>
      </c>
      <c r="AX99" t="str">
        <f t="shared" si="2"/>
        <v>Kondhwa</v>
      </c>
    </row>
    <row r="100" spans="1:50" x14ac:dyDescent="0.25">
      <c r="A100" t="s">
        <v>972</v>
      </c>
      <c r="B100" t="s">
        <v>973</v>
      </c>
      <c r="C100" t="s">
        <v>974</v>
      </c>
      <c r="D100" t="s">
        <v>130</v>
      </c>
      <c r="E100" t="s">
        <v>975</v>
      </c>
      <c r="F100" t="s">
        <v>976</v>
      </c>
      <c r="G100" t="s">
        <v>977</v>
      </c>
      <c r="H100" t="s">
        <v>135</v>
      </c>
      <c r="I100">
        <v>78</v>
      </c>
      <c r="J100" t="s">
        <v>978</v>
      </c>
      <c r="K100" t="s">
        <v>111</v>
      </c>
      <c r="L100">
        <v>12</v>
      </c>
      <c r="M100" t="s">
        <v>89</v>
      </c>
      <c r="N100" t="s">
        <v>286</v>
      </c>
      <c r="O100" t="s">
        <v>840</v>
      </c>
      <c r="P100" t="s">
        <v>384</v>
      </c>
      <c r="Q100" t="s">
        <v>204</v>
      </c>
      <c r="R100" t="s">
        <v>140</v>
      </c>
      <c r="S100" t="s">
        <v>117</v>
      </c>
      <c r="T100" t="s">
        <v>118</v>
      </c>
      <c r="U100" t="s">
        <v>308</v>
      </c>
      <c r="V100" t="s">
        <v>966</v>
      </c>
      <c r="W100">
        <v>21587</v>
      </c>
      <c r="X100">
        <v>20315</v>
      </c>
      <c r="Y100">
        <v>1272</v>
      </c>
      <c r="Z100">
        <v>2486</v>
      </c>
      <c r="AA100" t="s">
        <v>98</v>
      </c>
      <c r="AB100" t="s">
        <v>876</v>
      </c>
      <c r="AC100" t="s">
        <v>71</v>
      </c>
      <c r="AD100" t="s">
        <v>72</v>
      </c>
      <c r="AE100">
        <v>5</v>
      </c>
      <c r="AF100">
        <v>88</v>
      </c>
      <c r="AG100">
        <v>95</v>
      </c>
      <c r="AH100" t="s">
        <v>73</v>
      </c>
      <c r="AI100">
        <v>94</v>
      </c>
      <c r="AJ100">
        <v>51</v>
      </c>
      <c r="AK100">
        <v>25</v>
      </c>
      <c r="AL100" t="s">
        <v>122</v>
      </c>
      <c r="AM100">
        <v>49</v>
      </c>
      <c r="AN100" t="s">
        <v>70</v>
      </c>
      <c r="AO100">
        <v>5</v>
      </c>
      <c r="AP100">
        <v>5</v>
      </c>
      <c r="AQ100" t="s">
        <v>407</v>
      </c>
      <c r="AR100" t="s">
        <v>114</v>
      </c>
      <c r="AS100" t="s">
        <v>98</v>
      </c>
      <c r="AT100" t="s">
        <v>101</v>
      </c>
      <c r="AU100" t="s">
        <v>160</v>
      </c>
      <c r="AV100" t="s">
        <v>147</v>
      </c>
      <c r="AX100" t="str">
        <f t="shared" si="2"/>
        <v>Kondhwa</v>
      </c>
    </row>
    <row r="101" spans="1:50" x14ac:dyDescent="0.25">
      <c r="A101" t="s">
        <v>979</v>
      </c>
      <c r="B101" t="s">
        <v>83</v>
      </c>
      <c r="C101" t="s">
        <v>980</v>
      </c>
      <c r="D101" t="s">
        <v>106</v>
      </c>
      <c r="E101" t="s">
        <v>981</v>
      </c>
      <c r="F101" t="s">
        <v>982</v>
      </c>
      <c r="G101" t="s">
        <v>983</v>
      </c>
      <c r="H101" t="s">
        <v>57</v>
      </c>
      <c r="I101">
        <v>92</v>
      </c>
      <c r="J101" t="s">
        <v>984</v>
      </c>
      <c r="K101" t="s">
        <v>111</v>
      </c>
      <c r="L101">
        <v>6</v>
      </c>
      <c r="M101" t="s">
        <v>112</v>
      </c>
      <c r="N101" t="s">
        <v>208</v>
      </c>
      <c r="O101" t="s">
        <v>985</v>
      </c>
      <c r="P101" t="s">
        <v>259</v>
      </c>
      <c r="Q101" t="s">
        <v>64</v>
      </c>
      <c r="R101" t="s">
        <v>65</v>
      </c>
      <c r="S101" t="s">
        <v>117</v>
      </c>
      <c r="T101" t="s">
        <v>118</v>
      </c>
      <c r="U101" t="s">
        <v>68</v>
      </c>
      <c r="V101" t="s">
        <v>333</v>
      </c>
      <c r="W101">
        <v>40772</v>
      </c>
      <c r="X101">
        <v>39048</v>
      </c>
      <c r="Y101">
        <v>1724</v>
      </c>
      <c r="Z101">
        <v>4472</v>
      </c>
      <c r="AA101" t="s">
        <v>70</v>
      </c>
      <c r="AC101" t="s">
        <v>71</v>
      </c>
      <c r="AD101" t="s">
        <v>72</v>
      </c>
      <c r="AE101">
        <v>7</v>
      </c>
      <c r="AF101">
        <v>69</v>
      </c>
      <c r="AG101">
        <v>83</v>
      </c>
      <c r="AH101" t="s">
        <v>73</v>
      </c>
      <c r="AI101">
        <v>73</v>
      </c>
      <c r="AJ101">
        <v>33</v>
      </c>
      <c r="AK101">
        <v>17</v>
      </c>
      <c r="AM101">
        <v>51</v>
      </c>
      <c r="AN101" t="s">
        <v>70</v>
      </c>
      <c r="AO101">
        <v>2</v>
      </c>
      <c r="AP101">
        <v>2</v>
      </c>
      <c r="AQ101" t="s">
        <v>309</v>
      </c>
      <c r="AR101" t="s">
        <v>687</v>
      </c>
      <c r="AS101" t="s">
        <v>70</v>
      </c>
      <c r="AT101" t="s">
        <v>177</v>
      </c>
      <c r="AU101" t="s">
        <v>126</v>
      </c>
      <c r="AV101" t="s">
        <v>78</v>
      </c>
      <c r="AW101" t="s">
        <v>79</v>
      </c>
      <c r="AX101" t="str">
        <f t="shared" si="2"/>
        <v>Kondhwa</v>
      </c>
    </row>
    <row r="102" spans="1:50" x14ac:dyDescent="0.25">
      <c r="A102" t="s">
        <v>986</v>
      </c>
      <c r="B102" t="s">
        <v>1322</v>
      </c>
      <c r="C102" t="s">
        <v>504</v>
      </c>
      <c r="D102" t="s">
        <v>130</v>
      </c>
      <c r="E102" t="s">
        <v>987</v>
      </c>
      <c r="F102" t="s">
        <v>988</v>
      </c>
      <c r="G102" t="s">
        <v>989</v>
      </c>
      <c r="H102" t="s">
        <v>135</v>
      </c>
      <c r="I102">
        <v>61</v>
      </c>
      <c r="J102" t="s">
        <v>990</v>
      </c>
      <c r="K102" t="s">
        <v>294</v>
      </c>
      <c r="L102">
        <v>12</v>
      </c>
      <c r="M102" t="s">
        <v>89</v>
      </c>
      <c r="N102" t="s">
        <v>475</v>
      </c>
      <c r="O102" t="s">
        <v>991</v>
      </c>
      <c r="P102" t="s">
        <v>371</v>
      </c>
      <c r="Q102" t="s">
        <v>204</v>
      </c>
      <c r="R102" t="s">
        <v>65</v>
      </c>
      <c r="S102" t="s">
        <v>232</v>
      </c>
      <c r="T102" t="s">
        <v>273</v>
      </c>
      <c r="U102" t="s">
        <v>309</v>
      </c>
      <c r="V102" t="s">
        <v>144</v>
      </c>
      <c r="W102">
        <v>24902</v>
      </c>
      <c r="X102">
        <v>23823</v>
      </c>
      <c r="Y102">
        <v>1079</v>
      </c>
      <c r="Z102">
        <v>2762</v>
      </c>
      <c r="AA102" t="s">
        <v>70</v>
      </c>
      <c r="AC102" t="s">
        <v>71</v>
      </c>
      <c r="AD102" t="s">
        <v>95</v>
      </c>
      <c r="AE102">
        <v>1</v>
      </c>
      <c r="AF102">
        <v>89</v>
      </c>
      <c r="AG102">
        <v>90</v>
      </c>
      <c r="AH102" t="s">
        <v>73</v>
      </c>
      <c r="AI102">
        <v>85</v>
      </c>
      <c r="AJ102">
        <v>40</v>
      </c>
      <c r="AK102">
        <v>38</v>
      </c>
      <c r="AL102" t="s">
        <v>122</v>
      </c>
      <c r="AM102">
        <v>100</v>
      </c>
      <c r="AN102" t="s">
        <v>98</v>
      </c>
      <c r="AO102">
        <v>4</v>
      </c>
      <c r="AP102">
        <v>5</v>
      </c>
      <c r="AQ102" t="s">
        <v>789</v>
      </c>
      <c r="AR102" t="s">
        <v>992</v>
      </c>
      <c r="AS102" t="s">
        <v>70</v>
      </c>
      <c r="AT102" t="s">
        <v>101</v>
      </c>
      <c r="AU102" t="s">
        <v>126</v>
      </c>
      <c r="AV102" t="s">
        <v>147</v>
      </c>
      <c r="AX102" t="str">
        <f t="shared" si="2"/>
        <v>Sinhgad Road</v>
      </c>
    </row>
    <row r="103" spans="1:50" x14ac:dyDescent="0.25">
      <c r="A103" t="s">
        <v>993</v>
      </c>
      <c r="B103" t="s">
        <v>1339</v>
      </c>
      <c r="C103" t="s">
        <v>994</v>
      </c>
      <c r="D103" t="s">
        <v>106</v>
      </c>
      <c r="E103" t="s">
        <v>995</v>
      </c>
      <c r="F103" t="s">
        <v>996</v>
      </c>
      <c r="G103" t="s">
        <v>997</v>
      </c>
      <c r="H103" t="s">
        <v>135</v>
      </c>
      <c r="I103">
        <v>68</v>
      </c>
      <c r="J103" t="s">
        <v>998</v>
      </c>
      <c r="K103" t="s">
        <v>242</v>
      </c>
      <c r="L103">
        <v>6</v>
      </c>
      <c r="M103" t="s">
        <v>60</v>
      </c>
      <c r="N103" t="s">
        <v>694</v>
      </c>
      <c r="O103" t="s">
        <v>695</v>
      </c>
      <c r="P103" t="s">
        <v>331</v>
      </c>
      <c r="Q103" t="s">
        <v>64</v>
      </c>
      <c r="R103" t="s">
        <v>140</v>
      </c>
      <c r="S103" t="s">
        <v>141</v>
      </c>
      <c r="T103" t="s">
        <v>205</v>
      </c>
      <c r="U103" t="s">
        <v>598</v>
      </c>
      <c r="V103" t="s">
        <v>999</v>
      </c>
      <c r="W103">
        <v>24283</v>
      </c>
      <c r="X103">
        <v>21996</v>
      </c>
      <c r="Y103">
        <v>2287</v>
      </c>
      <c r="Z103">
        <v>4413</v>
      </c>
      <c r="AA103" t="s">
        <v>98</v>
      </c>
      <c r="AB103" t="s">
        <v>440</v>
      </c>
      <c r="AC103" t="s">
        <v>71</v>
      </c>
      <c r="AD103" t="s">
        <v>95</v>
      </c>
      <c r="AE103">
        <v>1</v>
      </c>
      <c r="AF103">
        <v>42</v>
      </c>
      <c r="AG103">
        <v>79</v>
      </c>
      <c r="AH103" t="s">
        <v>234</v>
      </c>
      <c r="AI103">
        <v>94</v>
      </c>
      <c r="AJ103">
        <v>30</v>
      </c>
      <c r="AK103">
        <v>25</v>
      </c>
      <c r="AL103" t="s">
        <v>122</v>
      </c>
      <c r="AM103">
        <v>100</v>
      </c>
      <c r="AN103" t="s">
        <v>98</v>
      </c>
      <c r="AO103">
        <v>3</v>
      </c>
      <c r="AP103">
        <v>1</v>
      </c>
      <c r="AQ103" t="s">
        <v>415</v>
      </c>
      <c r="AR103" t="s">
        <v>429</v>
      </c>
      <c r="AS103" t="s">
        <v>70</v>
      </c>
      <c r="AT103" t="s">
        <v>177</v>
      </c>
      <c r="AU103" t="s">
        <v>77</v>
      </c>
      <c r="AV103" t="s">
        <v>147</v>
      </c>
      <c r="AX103" t="str">
        <f t="shared" si="2"/>
        <v>Sinhgad Road</v>
      </c>
    </row>
    <row r="104" spans="1:50" x14ac:dyDescent="0.25">
      <c r="A104" t="s">
        <v>1000</v>
      </c>
      <c r="B104" t="s">
        <v>486</v>
      </c>
      <c r="C104" t="s">
        <v>1001</v>
      </c>
      <c r="D104" t="s">
        <v>52</v>
      </c>
      <c r="E104" t="s">
        <v>1002</v>
      </c>
      <c r="F104" t="s">
        <v>1003</v>
      </c>
      <c r="G104" t="s">
        <v>1004</v>
      </c>
      <c r="H104" t="s">
        <v>1394</v>
      </c>
      <c r="I104">
        <v>88</v>
      </c>
      <c r="J104" t="s">
        <v>1005</v>
      </c>
      <c r="K104" t="s">
        <v>294</v>
      </c>
      <c r="L104">
        <v>3</v>
      </c>
      <c r="M104" t="s">
        <v>60</v>
      </c>
      <c r="N104" t="s">
        <v>395</v>
      </c>
      <c r="O104" t="s">
        <v>120</v>
      </c>
      <c r="P104" t="s">
        <v>396</v>
      </c>
      <c r="Q104" t="s">
        <v>204</v>
      </c>
      <c r="R104" t="s">
        <v>140</v>
      </c>
      <c r="S104" t="s">
        <v>232</v>
      </c>
      <c r="T104" t="s">
        <v>273</v>
      </c>
      <c r="U104" t="s">
        <v>298</v>
      </c>
      <c r="V104" t="s">
        <v>262</v>
      </c>
      <c r="W104">
        <v>26489</v>
      </c>
      <c r="X104">
        <v>26292</v>
      </c>
      <c r="Y104">
        <v>197</v>
      </c>
      <c r="Z104">
        <v>2244</v>
      </c>
      <c r="AA104" t="s">
        <v>70</v>
      </c>
      <c r="AC104" t="s">
        <v>71</v>
      </c>
      <c r="AD104" t="s">
        <v>191</v>
      </c>
      <c r="AE104">
        <v>10</v>
      </c>
      <c r="AF104">
        <v>44</v>
      </c>
      <c r="AG104">
        <v>83</v>
      </c>
      <c r="AH104" t="s">
        <v>73</v>
      </c>
      <c r="AI104">
        <v>79</v>
      </c>
      <c r="AJ104">
        <v>60</v>
      </c>
      <c r="AK104">
        <v>20</v>
      </c>
      <c r="AM104">
        <v>100</v>
      </c>
      <c r="AN104" t="s">
        <v>70</v>
      </c>
      <c r="AO104">
        <v>2</v>
      </c>
      <c r="AP104">
        <v>2</v>
      </c>
      <c r="AQ104" t="s">
        <v>249</v>
      </c>
      <c r="AR104" t="s">
        <v>333</v>
      </c>
      <c r="AS104" t="s">
        <v>70</v>
      </c>
      <c r="AT104" t="s">
        <v>76</v>
      </c>
      <c r="AU104" t="s">
        <v>126</v>
      </c>
      <c r="AV104" t="s">
        <v>78</v>
      </c>
      <c r="AW104" t="s">
        <v>102</v>
      </c>
      <c r="AX104" t="str">
        <f t="shared" si="2"/>
        <v>Sinhgad Road</v>
      </c>
    </row>
    <row r="105" spans="1:50" x14ac:dyDescent="0.25">
      <c r="A105" t="s">
        <v>1006</v>
      </c>
      <c r="B105" t="s">
        <v>1338</v>
      </c>
      <c r="C105" t="s">
        <v>1007</v>
      </c>
      <c r="D105" t="s">
        <v>106</v>
      </c>
      <c r="E105" t="s">
        <v>1008</v>
      </c>
      <c r="F105" t="s">
        <v>1009</v>
      </c>
      <c r="G105" t="s">
        <v>1010</v>
      </c>
      <c r="H105" t="s">
        <v>57</v>
      </c>
      <c r="I105">
        <v>95</v>
      </c>
      <c r="J105" t="s">
        <v>1011</v>
      </c>
      <c r="K105" t="s">
        <v>169</v>
      </c>
      <c r="L105">
        <v>12</v>
      </c>
      <c r="M105" t="s">
        <v>60</v>
      </c>
      <c r="N105" t="s">
        <v>854</v>
      </c>
      <c r="O105" t="s">
        <v>1012</v>
      </c>
      <c r="P105" t="s">
        <v>550</v>
      </c>
      <c r="Q105" t="s">
        <v>64</v>
      </c>
      <c r="R105" t="s">
        <v>140</v>
      </c>
      <c r="S105" t="s">
        <v>117</v>
      </c>
      <c r="T105" t="s">
        <v>273</v>
      </c>
      <c r="U105" t="s">
        <v>175</v>
      </c>
      <c r="V105" t="s">
        <v>706</v>
      </c>
      <c r="W105">
        <v>24249</v>
      </c>
      <c r="X105">
        <v>24206</v>
      </c>
      <c r="Y105">
        <v>43</v>
      </c>
      <c r="Z105">
        <v>121</v>
      </c>
      <c r="AA105" t="s">
        <v>70</v>
      </c>
      <c r="AC105" t="s">
        <v>71</v>
      </c>
      <c r="AD105" t="s">
        <v>121</v>
      </c>
      <c r="AE105">
        <v>5</v>
      </c>
      <c r="AF105">
        <v>71</v>
      </c>
      <c r="AG105">
        <v>81</v>
      </c>
      <c r="AH105" t="s">
        <v>96</v>
      </c>
      <c r="AI105">
        <v>92</v>
      </c>
      <c r="AJ105">
        <v>28</v>
      </c>
      <c r="AK105">
        <v>18</v>
      </c>
      <c r="AM105">
        <v>64</v>
      </c>
      <c r="AN105" t="s">
        <v>70</v>
      </c>
      <c r="AO105">
        <v>3</v>
      </c>
      <c r="AP105">
        <v>1</v>
      </c>
      <c r="AQ105" t="s">
        <v>74</v>
      </c>
      <c r="AR105" t="s">
        <v>517</v>
      </c>
      <c r="AS105" t="s">
        <v>70</v>
      </c>
      <c r="AT105" t="s">
        <v>76</v>
      </c>
      <c r="AU105" t="s">
        <v>160</v>
      </c>
      <c r="AV105" t="s">
        <v>78</v>
      </c>
      <c r="AW105" t="s">
        <v>79</v>
      </c>
      <c r="AX105" t="str">
        <f t="shared" si="2"/>
        <v>Sinhgad Road</v>
      </c>
    </row>
    <row r="106" spans="1:50" x14ac:dyDescent="0.25">
      <c r="A106" t="s">
        <v>1013</v>
      </c>
      <c r="B106" t="s">
        <v>212</v>
      </c>
      <c r="C106" t="s">
        <v>1014</v>
      </c>
      <c r="D106" t="s">
        <v>130</v>
      </c>
      <c r="E106" t="s">
        <v>1015</v>
      </c>
      <c r="F106" t="s">
        <v>1016</v>
      </c>
      <c r="G106" t="s">
        <v>1017</v>
      </c>
      <c r="H106" t="s">
        <v>1395</v>
      </c>
      <c r="I106">
        <v>72</v>
      </c>
      <c r="J106" t="s">
        <v>1018</v>
      </c>
      <c r="K106" t="s">
        <v>242</v>
      </c>
      <c r="L106">
        <v>6</v>
      </c>
      <c r="M106" t="s">
        <v>60</v>
      </c>
      <c r="N106" t="s">
        <v>1019</v>
      </c>
      <c r="O106" t="s">
        <v>399</v>
      </c>
      <c r="P106" t="s">
        <v>188</v>
      </c>
      <c r="Q106" t="s">
        <v>116</v>
      </c>
      <c r="R106" t="s">
        <v>65</v>
      </c>
      <c r="S106" t="s">
        <v>141</v>
      </c>
      <c r="T106" t="s">
        <v>142</v>
      </c>
      <c r="U106" t="s">
        <v>714</v>
      </c>
      <c r="V106" t="s">
        <v>583</v>
      </c>
      <c r="W106">
        <v>19931</v>
      </c>
      <c r="X106">
        <v>19557</v>
      </c>
      <c r="Y106">
        <v>374</v>
      </c>
      <c r="Z106">
        <v>1222</v>
      </c>
      <c r="AA106" t="s">
        <v>98</v>
      </c>
      <c r="AB106" t="s">
        <v>386</v>
      </c>
      <c r="AC106" t="s">
        <v>71</v>
      </c>
      <c r="AD106" t="s">
        <v>72</v>
      </c>
      <c r="AE106">
        <v>3</v>
      </c>
      <c r="AF106">
        <v>44</v>
      </c>
      <c r="AG106">
        <v>99</v>
      </c>
      <c r="AH106" t="s">
        <v>96</v>
      </c>
      <c r="AI106">
        <v>90</v>
      </c>
      <c r="AJ106">
        <v>24</v>
      </c>
      <c r="AK106">
        <v>22</v>
      </c>
      <c r="AM106">
        <v>91</v>
      </c>
      <c r="AN106" t="s">
        <v>70</v>
      </c>
      <c r="AO106">
        <v>5</v>
      </c>
      <c r="AP106">
        <v>5</v>
      </c>
      <c r="AQ106" t="s">
        <v>468</v>
      </c>
      <c r="AR106" t="s">
        <v>341</v>
      </c>
      <c r="AS106" t="s">
        <v>70</v>
      </c>
      <c r="AT106" t="s">
        <v>177</v>
      </c>
      <c r="AU106" t="s">
        <v>126</v>
      </c>
      <c r="AV106" t="s">
        <v>78</v>
      </c>
      <c r="AW106" t="s">
        <v>102</v>
      </c>
      <c r="AX106" t="str">
        <f t="shared" si="2"/>
        <v>Sinhgad Road</v>
      </c>
    </row>
    <row r="107" spans="1:50" x14ac:dyDescent="0.25">
      <c r="A107" t="s">
        <v>1020</v>
      </c>
      <c r="B107" t="s">
        <v>1337</v>
      </c>
      <c r="C107" t="s">
        <v>842</v>
      </c>
      <c r="D107" t="s">
        <v>106</v>
      </c>
      <c r="E107" t="s">
        <v>1021</v>
      </c>
      <c r="F107" t="s">
        <v>1022</v>
      </c>
      <c r="G107" t="s">
        <v>1023</v>
      </c>
      <c r="H107" t="s">
        <v>135</v>
      </c>
      <c r="I107">
        <v>94</v>
      </c>
      <c r="J107" t="s">
        <v>1024</v>
      </c>
      <c r="K107" t="s">
        <v>242</v>
      </c>
      <c r="L107">
        <v>3</v>
      </c>
      <c r="M107" t="s">
        <v>89</v>
      </c>
      <c r="N107" t="s">
        <v>361</v>
      </c>
      <c r="O107" t="s">
        <v>574</v>
      </c>
      <c r="P107" t="s">
        <v>396</v>
      </c>
      <c r="Q107" t="s">
        <v>64</v>
      </c>
      <c r="R107" t="s">
        <v>140</v>
      </c>
      <c r="S107" t="s">
        <v>66</v>
      </c>
      <c r="T107" t="s">
        <v>142</v>
      </c>
      <c r="U107" t="s">
        <v>450</v>
      </c>
      <c r="V107" t="s">
        <v>306</v>
      </c>
      <c r="W107">
        <v>41308</v>
      </c>
      <c r="X107">
        <v>40228</v>
      </c>
      <c r="Y107">
        <v>1080</v>
      </c>
      <c r="Z107">
        <v>3391</v>
      </c>
      <c r="AA107" t="s">
        <v>70</v>
      </c>
      <c r="AC107" t="s">
        <v>71</v>
      </c>
      <c r="AD107" t="s">
        <v>121</v>
      </c>
      <c r="AE107">
        <v>9</v>
      </c>
      <c r="AF107">
        <v>61</v>
      </c>
      <c r="AG107">
        <v>100</v>
      </c>
      <c r="AH107" t="s">
        <v>96</v>
      </c>
      <c r="AI107">
        <v>99</v>
      </c>
      <c r="AJ107">
        <v>50</v>
      </c>
      <c r="AK107">
        <v>39</v>
      </c>
      <c r="AL107" t="s">
        <v>97</v>
      </c>
      <c r="AM107">
        <v>78</v>
      </c>
      <c r="AN107" t="s">
        <v>98</v>
      </c>
      <c r="AO107">
        <v>3</v>
      </c>
      <c r="AP107">
        <v>1</v>
      </c>
      <c r="AQ107" t="s">
        <v>235</v>
      </c>
      <c r="AR107" t="s">
        <v>781</v>
      </c>
      <c r="AS107" t="s">
        <v>98</v>
      </c>
      <c r="AT107" t="s">
        <v>101</v>
      </c>
      <c r="AU107" t="s">
        <v>126</v>
      </c>
      <c r="AV107" t="s">
        <v>147</v>
      </c>
      <c r="AX107" t="str">
        <f t="shared" si="2"/>
        <v>Sinhgad Road</v>
      </c>
    </row>
    <row r="108" spans="1:50" x14ac:dyDescent="0.25">
      <c r="A108" t="s">
        <v>1025</v>
      </c>
      <c r="B108" t="s">
        <v>569</v>
      </c>
      <c r="C108" t="s">
        <v>674</v>
      </c>
      <c r="D108" t="s">
        <v>130</v>
      </c>
      <c r="E108" t="s">
        <v>1026</v>
      </c>
      <c r="F108" t="s">
        <v>1027</v>
      </c>
      <c r="G108" t="s">
        <v>1028</v>
      </c>
      <c r="H108" t="s">
        <v>57</v>
      </c>
      <c r="I108">
        <v>76</v>
      </c>
      <c r="J108" t="s">
        <v>1029</v>
      </c>
      <c r="K108" t="s">
        <v>169</v>
      </c>
      <c r="L108">
        <v>6</v>
      </c>
      <c r="M108" t="s">
        <v>60</v>
      </c>
      <c r="N108" t="s">
        <v>261</v>
      </c>
      <c r="O108" t="s">
        <v>1030</v>
      </c>
      <c r="P108" t="s">
        <v>172</v>
      </c>
      <c r="Q108" t="s">
        <v>204</v>
      </c>
      <c r="R108" t="s">
        <v>65</v>
      </c>
      <c r="S108" t="s">
        <v>66</v>
      </c>
      <c r="T108" t="s">
        <v>118</v>
      </c>
      <c r="U108" t="s">
        <v>415</v>
      </c>
      <c r="V108" t="s">
        <v>415</v>
      </c>
      <c r="W108">
        <v>18265</v>
      </c>
      <c r="X108">
        <v>14570</v>
      </c>
      <c r="Y108">
        <v>3695</v>
      </c>
      <c r="Z108">
        <v>3727</v>
      </c>
      <c r="AA108" t="s">
        <v>70</v>
      </c>
      <c r="AC108" t="s">
        <v>71</v>
      </c>
      <c r="AD108" t="s">
        <v>121</v>
      </c>
      <c r="AE108">
        <v>4</v>
      </c>
      <c r="AF108">
        <v>66</v>
      </c>
      <c r="AG108">
        <v>85</v>
      </c>
      <c r="AH108" t="s">
        <v>96</v>
      </c>
      <c r="AI108">
        <v>86</v>
      </c>
      <c r="AJ108">
        <v>54</v>
      </c>
      <c r="AK108">
        <v>19</v>
      </c>
      <c r="AL108" t="s">
        <v>122</v>
      </c>
      <c r="AM108">
        <v>35</v>
      </c>
      <c r="AN108" t="s">
        <v>98</v>
      </c>
      <c r="AO108">
        <v>2</v>
      </c>
      <c r="AP108">
        <v>3</v>
      </c>
      <c r="AQ108" t="s">
        <v>230</v>
      </c>
      <c r="AR108" t="s">
        <v>686</v>
      </c>
      <c r="AS108" t="s">
        <v>98</v>
      </c>
      <c r="AT108" t="s">
        <v>101</v>
      </c>
      <c r="AU108" t="s">
        <v>126</v>
      </c>
      <c r="AV108" t="s">
        <v>78</v>
      </c>
      <c r="AW108" t="s">
        <v>276</v>
      </c>
      <c r="AX108" t="str">
        <f t="shared" si="2"/>
        <v>Sinhgad Road</v>
      </c>
    </row>
    <row r="109" spans="1:50" x14ac:dyDescent="0.25">
      <c r="A109" t="s">
        <v>1031</v>
      </c>
      <c r="B109" t="s">
        <v>149</v>
      </c>
      <c r="C109" t="s">
        <v>1032</v>
      </c>
      <c r="D109" t="s">
        <v>106</v>
      </c>
      <c r="E109" t="s">
        <v>1033</v>
      </c>
      <c r="F109" t="s">
        <v>1034</v>
      </c>
      <c r="G109" t="s">
        <v>1035</v>
      </c>
      <c r="H109" t="s">
        <v>1394</v>
      </c>
      <c r="I109">
        <v>68</v>
      </c>
      <c r="J109" t="s">
        <v>1036</v>
      </c>
      <c r="K109" t="s">
        <v>111</v>
      </c>
      <c r="L109">
        <v>3</v>
      </c>
      <c r="M109" t="s">
        <v>60</v>
      </c>
      <c r="N109" t="s">
        <v>156</v>
      </c>
      <c r="O109" t="s">
        <v>100</v>
      </c>
      <c r="P109" t="s">
        <v>331</v>
      </c>
      <c r="Q109" t="s">
        <v>204</v>
      </c>
      <c r="R109" t="s">
        <v>140</v>
      </c>
      <c r="S109" t="s">
        <v>141</v>
      </c>
      <c r="T109" t="s">
        <v>205</v>
      </c>
      <c r="U109" t="s">
        <v>341</v>
      </c>
      <c r="V109" t="s">
        <v>93</v>
      </c>
      <c r="W109">
        <v>27915</v>
      </c>
      <c r="X109">
        <v>27782</v>
      </c>
      <c r="Y109">
        <v>133</v>
      </c>
      <c r="Z109">
        <v>137</v>
      </c>
      <c r="AA109" t="s">
        <v>98</v>
      </c>
      <c r="AB109" t="s">
        <v>143</v>
      </c>
      <c r="AC109" t="s">
        <v>71</v>
      </c>
      <c r="AD109" t="s">
        <v>121</v>
      </c>
      <c r="AE109">
        <v>9</v>
      </c>
      <c r="AF109">
        <v>42</v>
      </c>
      <c r="AG109">
        <v>42</v>
      </c>
      <c r="AH109" t="s">
        <v>234</v>
      </c>
      <c r="AI109">
        <v>87</v>
      </c>
      <c r="AJ109">
        <v>45</v>
      </c>
      <c r="AK109">
        <v>34</v>
      </c>
      <c r="AM109">
        <v>75</v>
      </c>
      <c r="AN109" t="s">
        <v>70</v>
      </c>
      <c r="AO109">
        <v>4</v>
      </c>
      <c r="AP109">
        <v>4</v>
      </c>
      <c r="AQ109" t="s">
        <v>189</v>
      </c>
      <c r="AR109" t="s">
        <v>171</v>
      </c>
      <c r="AS109" t="s">
        <v>70</v>
      </c>
      <c r="AT109" t="s">
        <v>287</v>
      </c>
      <c r="AU109" t="s">
        <v>126</v>
      </c>
      <c r="AV109" t="s">
        <v>147</v>
      </c>
      <c r="AX109" t="str">
        <f t="shared" si="2"/>
        <v>Sinhgad Road</v>
      </c>
    </row>
    <row r="110" spans="1:50" x14ac:dyDescent="0.25">
      <c r="A110" t="s">
        <v>1037</v>
      </c>
      <c r="B110" t="s">
        <v>265</v>
      </c>
      <c r="C110" t="s">
        <v>1038</v>
      </c>
      <c r="D110" t="s">
        <v>130</v>
      </c>
      <c r="E110" t="s">
        <v>1039</v>
      </c>
      <c r="F110" t="s">
        <v>1040</v>
      </c>
      <c r="G110" t="s">
        <v>1041</v>
      </c>
      <c r="H110" t="s">
        <v>1394</v>
      </c>
      <c r="I110">
        <v>94</v>
      </c>
      <c r="J110" t="s">
        <v>1042</v>
      </c>
      <c r="K110" t="s">
        <v>59</v>
      </c>
      <c r="L110">
        <v>12</v>
      </c>
      <c r="M110" t="s">
        <v>60</v>
      </c>
      <c r="N110" t="s">
        <v>298</v>
      </c>
      <c r="O110" t="s">
        <v>1043</v>
      </c>
      <c r="P110" t="s">
        <v>331</v>
      </c>
      <c r="Q110" t="s">
        <v>64</v>
      </c>
      <c r="R110" t="s">
        <v>65</v>
      </c>
      <c r="S110" t="s">
        <v>117</v>
      </c>
      <c r="T110" t="s">
        <v>142</v>
      </c>
      <c r="U110" t="s">
        <v>395</v>
      </c>
      <c r="V110" t="s">
        <v>395</v>
      </c>
      <c r="W110">
        <v>18513</v>
      </c>
      <c r="X110">
        <v>18478</v>
      </c>
      <c r="Y110">
        <v>35</v>
      </c>
      <c r="Z110">
        <v>40</v>
      </c>
      <c r="AA110" t="s">
        <v>70</v>
      </c>
      <c r="AC110" t="s">
        <v>71</v>
      </c>
      <c r="AD110" t="s">
        <v>121</v>
      </c>
      <c r="AE110">
        <v>3</v>
      </c>
      <c r="AF110">
        <v>44</v>
      </c>
      <c r="AG110">
        <v>91</v>
      </c>
      <c r="AH110" t="s">
        <v>73</v>
      </c>
      <c r="AI110">
        <v>80</v>
      </c>
      <c r="AJ110">
        <v>41</v>
      </c>
      <c r="AK110">
        <v>37</v>
      </c>
      <c r="AM110">
        <v>90</v>
      </c>
      <c r="AN110" t="s">
        <v>98</v>
      </c>
      <c r="AO110">
        <v>5</v>
      </c>
      <c r="AP110">
        <v>3</v>
      </c>
      <c r="AQ110" t="s">
        <v>207</v>
      </c>
      <c r="AR110" t="s">
        <v>249</v>
      </c>
      <c r="AS110" t="s">
        <v>98</v>
      </c>
      <c r="AT110" t="s">
        <v>287</v>
      </c>
      <c r="AU110" t="s">
        <v>77</v>
      </c>
      <c r="AV110" t="s">
        <v>78</v>
      </c>
      <c r="AW110" t="s">
        <v>102</v>
      </c>
      <c r="AX110" t="str">
        <f t="shared" si="2"/>
        <v>Sinhgad Road</v>
      </c>
    </row>
    <row r="111" spans="1:50" x14ac:dyDescent="0.25">
      <c r="A111" t="s">
        <v>1044</v>
      </c>
      <c r="B111" t="s">
        <v>1336</v>
      </c>
      <c r="C111" t="s">
        <v>1045</v>
      </c>
      <c r="D111" t="s">
        <v>106</v>
      </c>
      <c r="E111" t="s">
        <v>1046</v>
      </c>
      <c r="F111" t="s">
        <v>1047</v>
      </c>
      <c r="G111" t="s">
        <v>1048</v>
      </c>
      <c r="H111" t="s">
        <v>1395</v>
      </c>
      <c r="I111">
        <v>62</v>
      </c>
      <c r="J111" t="s">
        <v>1049</v>
      </c>
      <c r="K111" t="s">
        <v>111</v>
      </c>
      <c r="L111">
        <v>3</v>
      </c>
      <c r="M111" t="s">
        <v>89</v>
      </c>
      <c r="N111" t="s">
        <v>247</v>
      </c>
      <c r="O111" t="s">
        <v>99</v>
      </c>
      <c r="P111" t="s">
        <v>371</v>
      </c>
      <c r="Q111" t="s">
        <v>64</v>
      </c>
      <c r="R111" t="s">
        <v>65</v>
      </c>
      <c r="S111" t="s">
        <v>141</v>
      </c>
      <c r="T111" t="s">
        <v>273</v>
      </c>
      <c r="U111" t="s">
        <v>597</v>
      </c>
      <c r="V111" t="s">
        <v>247</v>
      </c>
      <c r="W111">
        <v>34735</v>
      </c>
      <c r="X111">
        <v>32586</v>
      </c>
      <c r="Y111">
        <v>2149</v>
      </c>
      <c r="Z111">
        <v>2851</v>
      </c>
      <c r="AA111" t="s">
        <v>70</v>
      </c>
      <c r="AC111" t="s">
        <v>71</v>
      </c>
      <c r="AD111" t="s">
        <v>95</v>
      </c>
      <c r="AE111">
        <v>1</v>
      </c>
      <c r="AF111">
        <v>69</v>
      </c>
      <c r="AG111">
        <v>78</v>
      </c>
      <c r="AH111" t="s">
        <v>73</v>
      </c>
      <c r="AI111">
        <v>85</v>
      </c>
      <c r="AJ111">
        <v>53</v>
      </c>
      <c r="AK111">
        <v>31</v>
      </c>
      <c r="AL111" t="s">
        <v>97</v>
      </c>
      <c r="AM111">
        <v>58</v>
      </c>
      <c r="AN111" t="s">
        <v>70</v>
      </c>
      <c r="AO111">
        <v>3</v>
      </c>
      <c r="AP111">
        <v>2</v>
      </c>
      <c r="AQ111" t="s">
        <v>382</v>
      </c>
      <c r="AR111" t="s">
        <v>275</v>
      </c>
      <c r="AS111" t="s">
        <v>98</v>
      </c>
      <c r="AT111" t="s">
        <v>177</v>
      </c>
      <c r="AU111" t="s">
        <v>126</v>
      </c>
      <c r="AV111" t="s">
        <v>147</v>
      </c>
      <c r="AX111" t="str">
        <f t="shared" si="2"/>
        <v>Sinhgad Road</v>
      </c>
    </row>
    <row r="112" spans="1:50" x14ac:dyDescent="0.25">
      <c r="A112" t="s">
        <v>1050</v>
      </c>
      <c r="B112" t="s">
        <v>181</v>
      </c>
      <c r="C112" t="s">
        <v>1051</v>
      </c>
      <c r="D112" t="s">
        <v>106</v>
      </c>
      <c r="E112" t="s">
        <v>1052</v>
      </c>
      <c r="F112" t="s">
        <v>1053</v>
      </c>
      <c r="G112" t="s">
        <v>1054</v>
      </c>
      <c r="H112" t="s">
        <v>1394</v>
      </c>
      <c r="I112">
        <v>63</v>
      </c>
      <c r="J112" t="s">
        <v>1055</v>
      </c>
      <c r="K112" t="s">
        <v>59</v>
      </c>
      <c r="L112">
        <v>6</v>
      </c>
      <c r="M112" t="s">
        <v>112</v>
      </c>
      <c r="N112" t="s">
        <v>449</v>
      </c>
      <c r="O112" t="s">
        <v>417</v>
      </c>
      <c r="P112" t="s">
        <v>371</v>
      </c>
      <c r="Q112" t="s">
        <v>116</v>
      </c>
      <c r="R112" t="s">
        <v>140</v>
      </c>
      <c r="S112" t="s">
        <v>117</v>
      </c>
      <c r="T112" t="s">
        <v>118</v>
      </c>
      <c r="U112" t="s">
        <v>440</v>
      </c>
      <c r="V112" t="s">
        <v>440</v>
      </c>
      <c r="W112">
        <v>25073</v>
      </c>
      <c r="X112">
        <v>22507</v>
      </c>
      <c r="Y112">
        <v>2566</v>
      </c>
      <c r="Z112">
        <v>2622</v>
      </c>
      <c r="AA112" t="s">
        <v>70</v>
      </c>
      <c r="AC112" t="s">
        <v>71</v>
      </c>
      <c r="AD112" t="s">
        <v>191</v>
      </c>
      <c r="AE112">
        <v>6</v>
      </c>
      <c r="AF112">
        <v>81</v>
      </c>
      <c r="AG112">
        <v>81</v>
      </c>
      <c r="AH112" t="s">
        <v>234</v>
      </c>
      <c r="AI112">
        <v>94</v>
      </c>
      <c r="AJ112">
        <v>31</v>
      </c>
      <c r="AK112">
        <v>19</v>
      </c>
      <c r="AL112" t="s">
        <v>122</v>
      </c>
      <c r="AM112">
        <v>61</v>
      </c>
      <c r="AN112" t="s">
        <v>98</v>
      </c>
      <c r="AO112">
        <v>5</v>
      </c>
      <c r="AP112">
        <v>4</v>
      </c>
      <c r="AQ112" t="s">
        <v>926</v>
      </c>
      <c r="AR112" t="s">
        <v>632</v>
      </c>
      <c r="AS112" t="s">
        <v>70</v>
      </c>
      <c r="AT112" t="s">
        <v>76</v>
      </c>
      <c r="AU112" t="s">
        <v>160</v>
      </c>
      <c r="AV112" t="s">
        <v>78</v>
      </c>
      <c r="AW112" t="s">
        <v>79</v>
      </c>
      <c r="AX112" t="str">
        <f t="shared" si="2"/>
        <v>Sinhgad Road</v>
      </c>
    </row>
    <row r="113" spans="1:50" x14ac:dyDescent="0.25">
      <c r="A113" t="s">
        <v>1056</v>
      </c>
      <c r="B113" t="s">
        <v>1335</v>
      </c>
      <c r="C113" t="s">
        <v>1057</v>
      </c>
      <c r="D113" t="s">
        <v>52</v>
      </c>
      <c r="E113" t="s">
        <v>1058</v>
      </c>
      <c r="F113" t="s">
        <v>1059</v>
      </c>
      <c r="G113" t="s">
        <v>1060</v>
      </c>
      <c r="H113" t="s">
        <v>87</v>
      </c>
      <c r="I113">
        <v>74</v>
      </c>
      <c r="J113" t="s">
        <v>1061</v>
      </c>
      <c r="K113" t="s">
        <v>111</v>
      </c>
      <c r="L113">
        <v>3</v>
      </c>
      <c r="M113" t="s">
        <v>89</v>
      </c>
      <c r="N113" t="s">
        <v>137</v>
      </c>
      <c r="O113" t="s">
        <v>926</v>
      </c>
      <c r="P113" t="s">
        <v>396</v>
      </c>
      <c r="Q113" t="s">
        <v>64</v>
      </c>
      <c r="R113" t="s">
        <v>140</v>
      </c>
      <c r="S113" t="s">
        <v>66</v>
      </c>
      <c r="T113" t="s">
        <v>67</v>
      </c>
      <c r="U113" t="s">
        <v>484</v>
      </c>
      <c r="V113" t="s">
        <v>1062</v>
      </c>
      <c r="W113">
        <v>47190</v>
      </c>
      <c r="X113">
        <v>43083</v>
      </c>
      <c r="Y113">
        <v>4107</v>
      </c>
      <c r="Z113">
        <v>4422</v>
      </c>
      <c r="AA113" t="s">
        <v>98</v>
      </c>
      <c r="AB113" t="s">
        <v>361</v>
      </c>
      <c r="AC113" t="s">
        <v>71</v>
      </c>
      <c r="AD113" t="s">
        <v>191</v>
      </c>
      <c r="AE113">
        <v>7</v>
      </c>
      <c r="AF113">
        <v>60</v>
      </c>
      <c r="AG113">
        <v>77</v>
      </c>
      <c r="AH113" t="s">
        <v>73</v>
      </c>
      <c r="AI113">
        <v>97</v>
      </c>
      <c r="AJ113">
        <v>27</v>
      </c>
      <c r="AK113">
        <v>24</v>
      </c>
      <c r="AL113" t="s">
        <v>97</v>
      </c>
      <c r="AM113">
        <v>88</v>
      </c>
      <c r="AN113" t="s">
        <v>70</v>
      </c>
      <c r="AO113">
        <v>5</v>
      </c>
      <c r="AP113">
        <v>1</v>
      </c>
      <c r="AQ113" t="s">
        <v>666</v>
      </c>
      <c r="AR113" t="s">
        <v>93</v>
      </c>
      <c r="AS113" t="s">
        <v>70</v>
      </c>
      <c r="AT113" t="s">
        <v>287</v>
      </c>
      <c r="AU113" t="s">
        <v>77</v>
      </c>
      <c r="AV113" t="s">
        <v>78</v>
      </c>
      <c r="AW113" t="s">
        <v>102</v>
      </c>
      <c r="AX113" t="str">
        <f t="shared" si="2"/>
        <v>Sinhgad Road</v>
      </c>
    </row>
    <row r="114" spans="1:50" x14ac:dyDescent="0.25">
      <c r="A114" t="s">
        <v>1063</v>
      </c>
      <c r="B114" t="s">
        <v>1334</v>
      </c>
      <c r="C114" t="s">
        <v>1064</v>
      </c>
      <c r="D114" t="s">
        <v>52</v>
      </c>
      <c r="E114" t="s">
        <v>1065</v>
      </c>
      <c r="F114" t="s">
        <v>1066</v>
      </c>
      <c r="G114" t="s">
        <v>1067</v>
      </c>
      <c r="H114" t="s">
        <v>57</v>
      </c>
      <c r="I114">
        <v>91</v>
      </c>
      <c r="J114" t="s">
        <v>1068</v>
      </c>
      <c r="K114" t="s">
        <v>111</v>
      </c>
      <c r="L114">
        <v>3</v>
      </c>
      <c r="M114" t="s">
        <v>89</v>
      </c>
      <c r="N114" t="s">
        <v>137</v>
      </c>
      <c r="O114" t="s">
        <v>926</v>
      </c>
      <c r="P114" t="s">
        <v>524</v>
      </c>
      <c r="Q114" t="s">
        <v>116</v>
      </c>
      <c r="R114" t="s">
        <v>140</v>
      </c>
      <c r="S114" t="s">
        <v>66</v>
      </c>
      <c r="T114" t="s">
        <v>118</v>
      </c>
      <c r="U114" t="s">
        <v>157</v>
      </c>
      <c r="V114" t="s">
        <v>535</v>
      </c>
      <c r="W114">
        <v>20036</v>
      </c>
      <c r="X114">
        <v>19390</v>
      </c>
      <c r="Y114">
        <v>646</v>
      </c>
      <c r="Z114">
        <v>2832</v>
      </c>
      <c r="AA114" t="s">
        <v>98</v>
      </c>
      <c r="AB114" t="s">
        <v>174</v>
      </c>
      <c r="AC114" t="s">
        <v>71</v>
      </c>
      <c r="AD114" t="s">
        <v>191</v>
      </c>
      <c r="AE114">
        <v>5</v>
      </c>
      <c r="AF114">
        <v>86</v>
      </c>
      <c r="AG114">
        <v>90</v>
      </c>
      <c r="AH114" t="s">
        <v>96</v>
      </c>
      <c r="AI114">
        <v>70</v>
      </c>
      <c r="AJ114">
        <v>31</v>
      </c>
      <c r="AK114">
        <v>21</v>
      </c>
      <c r="AM114">
        <v>67</v>
      </c>
      <c r="AN114" t="s">
        <v>70</v>
      </c>
      <c r="AO114">
        <v>2</v>
      </c>
      <c r="AP114">
        <v>4</v>
      </c>
      <c r="AQ114" t="s">
        <v>428</v>
      </c>
      <c r="AR114" t="s">
        <v>1069</v>
      </c>
      <c r="AS114" t="s">
        <v>70</v>
      </c>
      <c r="AT114" t="s">
        <v>101</v>
      </c>
      <c r="AU114" t="s">
        <v>160</v>
      </c>
      <c r="AV114" t="s">
        <v>78</v>
      </c>
      <c r="AW114" t="s">
        <v>79</v>
      </c>
      <c r="AX114" t="str">
        <f t="shared" si="2"/>
        <v>Sinhgad Road</v>
      </c>
    </row>
    <row r="115" spans="1:50" x14ac:dyDescent="0.25">
      <c r="A115" t="s">
        <v>1070</v>
      </c>
      <c r="B115" t="s">
        <v>799</v>
      </c>
      <c r="C115" t="s">
        <v>1071</v>
      </c>
      <c r="D115" t="s">
        <v>52</v>
      </c>
      <c r="E115" t="s">
        <v>1072</v>
      </c>
      <c r="F115" t="s">
        <v>1073</v>
      </c>
      <c r="G115" t="s">
        <v>1074</v>
      </c>
      <c r="H115" t="s">
        <v>57</v>
      </c>
      <c r="I115">
        <v>87</v>
      </c>
      <c r="J115" t="s">
        <v>1075</v>
      </c>
      <c r="K115" t="s">
        <v>169</v>
      </c>
      <c r="L115">
        <v>6</v>
      </c>
      <c r="M115" t="s">
        <v>89</v>
      </c>
      <c r="N115" t="s">
        <v>246</v>
      </c>
      <c r="O115" t="s">
        <v>679</v>
      </c>
      <c r="P115" t="s">
        <v>331</v>
      </c>
      <c r="Q115" t="s">
        <v>204</v>
      </c>
      <c r="R115" t="s">
        <v>65</v>
      </c>
      <c r="S115" t="s">
        <v>232</v>
      </c>
      <c r="T115" t="s">
        <v>118</v>
      </c>
      <c r="U115" t="s">
        <v>1076</v>
      </c>
      <c r="V115" t="s">
        <v>1076</v>
      </c>
      <c r="W115">
        <v>34689</v>
      </c>
      <c r="X115">
        <v>32835</v>
      </c>
      <c r="Y115">
        <v>1854</v>
      </c>
      <c r="Z115">
        <v>2454</v>
      </c>
      <c r="AA115" t="s">
        <v>70</v>
      </c>
      <c r="AC115" t="s">
        <v>71</v>
      </c>
      <c r="AD115" t="s">
        <v>95</v>
      </c>
      <c r="AE115">
        <v>10</v>
      </c>
      <c r="AF115">
        <v>41</v>
      </c>
      <c r="AG115">
        <v>58</v>
      </c>
      <c r="AH115" t="s">
        <v>96</v>
      </c>
      <c r="AI115">
        <v>73</v>
      </c>
      <c r="AJ115">
        <v>27</v>
      </c>
      <c r="AK115">
        <v>26</v>
      </c>
      <c r="AM115">
        <v>96</v>
      </c>
      <c r="AN115" t="s">
        <v>70</v>
      </c>
      <c r="AO115">
        <v>1</v>
      </c>
      <c r="AP115">
        <v>3</v>
      </c>
      <c r="AQ115" t="s">
        <v>94</v>
      </c>
      <c r="AR115" t="s">
        <v>727</v>
      </c>
      <c r="AS115" t="s">
        <v>98</v>
      </c>
      <c r="AT115" t="s">
        <v>101</v>
      </c>
      <c r="AU115" t="s">
        <v>126</v>
      </c>
      <c r="AV115" t="s">
        <v>147</v>
      </c>
      <c r="AX115" t="str">
        <f t="shared" si="2"/>
        <v>Sinhgad Road</v>
      </c>
    </row>
    <row r="116" spans="1:50" x14ac:dyDescent="0.25">
      <c r="A116" t="s">
        <v>1077</v>
      </c>
      <c r="B116" t="s">
        <v>1330</v>
      </c>
      <c r="C116" t="s">
        <v>1078</v>
      </c>
      <c r="D116" t="s">
        <v>130</v>
      </c>
      <c r="E116" t="s">
        <v>1079</v>
      </c>
      <c r="F116" t="s">
        <v>1080</v>
      </c>
      <c r="G116" t="s">
        <v>1081</v>
      </c>
      <c r="H116" t="s">
        <v>1394</v>
      </c>
      <c r="I116">
        <v>92</v>
      </c>
      <c r="J116" t="s">
        <v>1082</v>
      </c>
      <c r="K116" t="s">
        <v>59</v>
      </c>
      <c r="L116">
        <v>6</v>
      </c>
      <c r="M116" t="s">
        <v>112</v>
      </c>
      <c r="N116" t="s">
        <v>457</v>
      </c>
      <c r="O116" t="s">
        <v>868</v>
      </c>
      <c r="P116" t="s">
        <v>245</v>
      </c>
      <c r="Q116" t="s">
        <v>204</v>
      </c>
      <c r="R116" t="s">
        <v>140</v>
      </c>
      <c r="S116" t="s">
        <v>141</v>
      </c>
      <c r="T116" t="s">
        <v>142</v>
      </c>
      <c r="U116" t="s">
        <v>476</v>
      </c>
      <c r="V116" t="s">
        <v>385</v>
      </c>
      <c r="W116">
        <v>40538</v>
      </c>
      <c r="X116">
        <v>39809</v>
      </c>
      <c r="Y116">
        <v>729</v>
      </c>
      <c r="Z116">
        <v>2035</v>
      </c>
      <c r="AA116" t="s">
        <v>70</v>
      </c>
      <c r="AC116" t="s">
        <v>71</v>
      </c>
      <c r="AD116" t="s">
        <v>191</v>
      </c>
      <c r="AE116">
        <v>9</v>
      </c>
      <c r="AF116">
        <v>47</v>
      </c>
      <c r="AG116">
        <v>63</v>
      </c>
      <c r="AH116" t="s">
        <v>73</v>
      </c>
      <c r="AI116">
        <v>78</v>
      </c>
      <c r="AJ116">
        <v>48</v>
      </c>
      <c r="AK116">
        <v>27</v>
      </c>
      <c r="AL116" t="s">
        <v>97</v>
      </c>
      <c r="AM116">
        <v>56</v>
      </c>
      <c r="AN116" t="s">
        <v>98</v>
      </c>
      <c r="AO116">
        <v>5</v>
      </c>
      <c r="AP116">
        <v>4</v>
      </c>
      <c r="AQ116" t="s">
        <v>450</v>
      </c>
      <c r="AR116" t="s">
        <v>696</v>
      </c>
      <c r="AS116" t="s">
        <v>70</v>
      </c>
      <c r="AT116" t="s">
        <v>287</v>
      </c>
      <c r="AU116" t="s">
        <v>160</v>
      </c>
      <c r="AV116" t="s">
        <v>147</v>
      </c>
      <c r="AX116" t="str">
        <f t="shared" si="2"/>
        <v>Sinhgad Road</v>
      </c>
    </row>
    <row r="117" spans="1:50" x14ac:dyDescent="0.25">
      <c r="A117" t="s">
        <v>1083</v>
      </c>
      <c r="B117" t="s">
        <v>1331</v>
      </c>
      <c r="C117" t="s">
        <v>1084</v>
      </c>
      <c r="D117" t="s">
        <v>52</v>
      </c>
      <c r="E117" t="s">
        <v>1085</v>
      </c>
      <c r="F117" t="s">
        <v>1086</v>
      </c>
      <c r="G117" t="s">
        <v>1087</v>
      </c>
      <c r="H117" t="s">
        <v>1394</v>
      </c>
      <c r="I117">
        <v>62</v>
      </c>
      <c r="J117" t="s">
        <v>1088</v>
      </c>
      <c r="K117" t="s">
        <v>169</v>
      </c>
      <c r="L117">
        <v>12</v>
      </c>
      <c r="M117" t="s">
        <v>112</v>
      </c>
      <c r="N117" t="s">
        <v>1089</v>
      </c>
      <c r="O117" t="s">
        <v>1090</v>
      </c>
      <c r="P117" t="s">
        <v>559</v>
      </c>
      <c r="Q117" t="s">
        <v>116</v>
      </c>
      <c r="R117" t="s">
        <v>140</v>
      </c>
      <c r="S117" t="s">
        <v>117</v>
      </c>
      <c r="T117" t="s">
        <v>67</v>
      </c>
      <c r="U117" t="s">
        <v>854</v>
      </c>
      <c r="V117" t="s">
        <v>157</v>
      </c>
      <c r="W117">
        <v>37355</v>
      </c>
      <c r="X117">
        <v>36312</v>
      </c>
      <c r="Y117">
        <v>1043</v>
      </c>
      <c r="Z117">
        <v>1260</v>
      </c>
      <c r="AA117" t="s">
        <v>70</v>
      </c>
      <c r="AC117" t="s">
        <v>71</v>
      </c>
      <c r="AD117" t="s">
        <v>121</v>
      </c>
      <c r="AE117">
        <v>4</v>
      </c>
      <c r="AF117">
        <v>67</v>
      </c>
      <c r="AG117">
        <v>81</v>
      </c>
      <c r="AH117" t="s">
        <v>234</v>
      </c>
      <c r="AI117">
        <v>87</v>
      </c>
      <c r="AJ117">
        <v>59</v>
      </c>
      <c r="AK117">
        <v>31</v>
      </c>
      <c r="AL117" t="s">
        <v>122</v>
      </c>
      <c r="AM117">
        <v>52</v>
      </c>
      <c r="AN117" t="s">
        <v>70</v>
      </c>
      <c r="AO117">
        <v>5</v>
      </c>
      <c r="AP117">
        <v>5</v>
      </c>
      <c r="AQ117" t="s">
        <v>275</v>
      </c>
      <c r="AR117" t="s">
        <v>158</v>
      </c>
      <c r="AS117" t="s">
        <v>98</v>
      </c>
      <c r="AT117" t="s">
        <v>177</v>
      </c>
      <c r="AU117" t="s">
        <v>126</v>
      </c>
      <c r="AV117" t="s">
        <v>78</v>
      </c>
      <c r="AW117" t="s">
        <v>79</v>
      </c>
      <c r="AX117" t="str">
        <f t="shared" si="2"/>
        <v>Sinhgad Road</v>
      </c>
    </row>
    <row r="118" spans="1:50" x14ac:dyDescent="0.25">
      <c r="A118" t="s">
        <v>1091</v>
      </c>
      <c r="B118" t="s">
        <v>104</v>
      </c>
      <c r="C118" t="s">
        <v>1092</v>
      </c>
      <c r="D118" t="s">
        <v>106</v>
      </c>
      <c r="E118" t="s">
        <v>1093</v>
      </c>
      <c r="F118" t="s">
        <v>1094</v>
      </c>
      <c r="G118" t="s">
        <v>1095</v>
      </c>
      <c r="H118" t="s">
        <v>135</v>
      </c>
      <c r="I118">
        <v>60</v>
      </c>
      <c r="J118" t="s">
        <v>1096</v>
      </c>
      <c r="K118" t="s">
        <v>242</v>
      </c>
      <c r="L118">
        <v>6</v>
      </c>
      <c r="M118" t="s">
        <v>89</v>
      </c>
      <c r="N118" t="s">
        <v>714</v>
      </c>
      <c r="O118" t="s">
        <v>1097</v>
      </c>
      <c r="P118" t="s">
        <v>139</v>
      </c>
      <c r="Q118" t="s">
        <v>116</v>
      </c>
      <c r="R118" t="s">
        <v>140</v>
      </c>
      <c r="S118" t="s">
        <v>232</v>
      </c>
      <c r="T118" t="s">
        <v>142</v>
      </c>
      <c r="U118" t="s">
        <v>1098</v>
      </c>
      <c r="V118" t="s">
        <v>360</v>
      </c>
      <c r="W118">
        <v>31539</v>
      </c>
      <c r="X118">
        <v>30952</v>
      </c>
      <c r="Y118">
        <v>587</v>
      </c>
      <c r="Z118">
        <v>4920</v>
      </c>
      <c r="AA118" t="s">
        <v>70</v>
      </c>
      <c r="AC118" t="s">
        <v>71</v>
      </c>
      <c r="AD118" t="s">
        <v>95</v>
      </c>
      <c r="AE118">
        <v>9</v>
      </c>
      <c r="AF118">
        <v>70</v>
      </c>
      <c r="AG118">
        <v>84</v>
      </c>
      <c r="AH118" t="s">
        <v>96</v>
      </c>
      <c r="AI118">
        <v>69</v>
      </c>
      <c r="AJ118">
        <v>53</v>
      </c>
      <c r="AK118">
        <v>18</v>
      </c>
      <c r="AL118" t="s">
        <v>122</v>
      </c>
      <c r="AM118">
        <v>33</v>
      </c>
      <c r="AN118" t="s">
        <v>98</v>
      </c>
      <c r="AO118">
        <v>4</v>
      </c>
      <c r="AP118">
        <v>3</v>
      </c>
      <c r="AQ118" t="s">
        <v>94</v>
      </c>
      <c r="AR118" t="s">
        <v>633</v>
      </c>
      <c r="AS118" t="s">
        <v>98</v>
      </c>
      <c r="AT118" t="s">
        <v>287</v>
      </c>
      <c r="AU118" t="s">
        <v>126</v>
      </c>
      <c r="AV118" t="s">
        <v>147</v>
      </c>
      <c r="AX118" t="str">
        <f t="shared" si="2"/>
        <v>Sinhgad Road</v>
      </c>
    </row>
    <row r="119" spans="1:50" x14ac:dyDescent="0.25">
      <c r="A119" t="s">
        <v>1099</v>
      </c>
      <c r="B119" t="s">
        <v>700</v>
      </c>
      <c r="C119" t="s">
        <v>1100</v>
      </c>
      <c r="D119" t="s">
        <v>106</v>
      </c>
      <c r="E119" t="s">
        <v>1101</v>
      </c>
      <c r="F119" t="s">
        <v>1102</v>
      </c>
      <c r="G119" t="s">
        <v>1103</v>
      </c>
      <c r="H119" t="s">
        <v>1395</v>
      </c>
      <c r="I119">
        <v>81</v>
      </c>
      <c r="J119" t="s">
        <v>1104</v>
      </c>
      <c r="K119" t="s">
        <v>294</v>
      </c>
      <c r="L119">
        <v>6</v>
      </c>
      <c r="M119" t="s">
        <v>112</v>
      </c>
      <c r="N119" t="s">
        <v>271</v>
      </c>
      <c r="O119" t="s">
        <v>1105</v>
      </c>
      <c r="P119" t="s">
        <v>524</v>
      </c>
      <c r="Q119" t="s">
        <v>116</v>
      </c>
      <c r="R119" t="s">
        <v>140</v>
      </c>
      <c r="S119" t="s">
        <v>219</v>
      </c>
      <c r="T119" t="s">
        <v>118</v>
      </c>
      <c r="U119" t="s">
        <v>416</v>
      </c>
      <c r="V119" t="s">
        <v>633</v>
      </c>
      <c r="W119">
        <v>21085</v>
      </c>
      <c r="X119">
        <v>17789</v>
      </c>
      <c r="Y119">
        <v>3296</v>
      </c>
      <c r="Z119">
        <v>4095</v>
      </c>
      <c r="AA119" t="s">
        <v>70</v>
      </c>
      <c r="AC119" t="s">
        <v>71</v>
      </c>
      <c r="AD119" t="s">
        <v>121</v>
      </c>
      <c r="AE119">
        <v>1</v>
      </c>
      <c r="AF119">
        <v>68</v>
      </c>
      <c r="AG119">
        <v>83</v>
      </c>
      <c r="AH119" t="s">
        <v>234</v>
      </c>
      <c r="AI119">
        <v>61</v>
      </c>
      <c r="AJ119">
        <v>49</v>
      </c>
      <c r="AK119">
        <v>47</v>
      </c>
      <c r="AM119">
        <v>95</v>
      </c>
      <c r="AN119" t="s">
        <v>70</v>
      </c>
      <c r="AO119">
        <v>4</v>
      </c>
      <c r="AP119">
        <v>2</v>
      </c>
      <c r="AQ119" t="s">
        <v>728</v>
      </c>
      <c r="AR119" t="s">
        <v>124</v>
      </c>
      <c r="AS119" t="s">
        <v>98</v>
      </c>
      <c r="AT119" t="s">
        <v>177</v>
      </c>
      <c r="AU119" t="s">
        <v>126</v>
      </c>
      <c r="AV119" t="s">
        <v>147</v>
      </c>
      <c r="AX119" t="str">
        <f t="shared" si="2"/>
        <v>Sinhgad Road</v>
      </c>
    </row>
    <row r="120" spans="1:50" x14ac:dyDescent="0.25">
      <c r="A120" t="s">
        <v>1106</v>
      </c>
      <c r="B120" t="s">
        <v>1332</v>
      </c>
      <c r="C120" t="s">
        <v>1107</v>
      </c>
      <c r="D120" t="s">
        <v>130</v>
      </c>
      <c r="E120" t="s">
        <v>1108</v>
      </c>
      <c r="F120" t="s">
        <v>1109</v>
      </c>
      <c r="G120" t="s">
        <v>1110</v>
      </c>
      <c r="H120" t="s">
        <v>1394</v>
      </c>
      <c r="I120">
        <v>75</v>
      </c>
      <c r="J120" t="s">
        <v>1111</v>
      </c>
      <c r="K120" t="s">
        <v>111</v>
      </c>
      <c r="L120">
        <v>3</v>
      </c>
      <c r="M120" t="s">
        <v>112</v>
      </c>
      <c r="N120" t="s">
        <v>824</v>
      </c>
      <c r="O120" t="s">
        <v>286</v>
      </c>
      <c r="P120" t="s">
        <v>396</v>
      </c>
      <c r="Q120" t="s">
        <v>204</v>
      </c>
      <c r="R120" t="s">
        <v>65</v>
      </c>
      <c r="S120" t="s">
        <v>219</v>
      </c>
      <c r="T120" t="s">
        <v>118</v>
      </c>
      <c r="U120" t="s">
        <v>854</v>
      </c>
      <c r="V120" t="s">
        <v>535</v>
      </c>
      <c r="W120">
        <v>34781</v>
      </c>
      <c r="X120">
        <v>31694</v>
      </c>
      <c r="Y120">
        <v>3087</v>
      </c>
      <c r="Z120">
        <v>3160</v>
      </c>
      <c r="AA120" t="s">
        <v>98</v>
      </c>
      <c r="AB120" t="s">
        <v>286</v>
      </c>
      <c r="AC120" t="s">
        <v>71</v>
      </c>
      <c r="AD120" t="s">
        <v>72</v>
      </c>
      <c r="AE120">
        <v>8</v>
      </c>
      <c r="AF120">
        <v>41</v>
      </c>
      <c r="AG120">
        <v>53</v>
      </c>
      <c r="AH120" t="s">
        <v>73</v>
      </c>
      <c r="AI120">
        <v>63</v>
      </c>
      <c r="AJ120">
        <v>47</v>
      </c>
      <c r="AK120">
        <v>29</v>
      </c>
      <c r="AL120" t="s">
        <v>97</v>
      </c>
      <c r="AM120">
        <v>61</v>
      </c>
      <c r="AN120" t="s">
        <v>98</v>
      </c>
      <c r="AO120">
        <v>2</v>
      </c>
      <c r="AP120">
        <v>3</v>
      </c>
      <c r="AQ120" t="s">
        <v>174</v>
      </c>
      <c r="AR120" t="s">
        <v>351</v>
      </c>
      <c r="AS120" t="s">
        <v>70</v>
      </c>
      <c r="AT120" t="s">
        <v>101</v>
      </c>
      <c r="AU120" t="s">
        <v>160</v>
      </c>
      <c r="AV120" t="s">
        <v>147</v>
      </c>
      <c r="AX120" t="str">
        <f t="shared" si="2"/>
        <v>Sinhgad Road</v>
      </c>
    </row>
    <row r="121" spans="1:50" x14ac:dyDescent="0.25">
      <c r="A121" t="s">
        <v>1112</v>
      </c>
      <c r="B121" t="s">
        <v>313</v>
      </c>
      <c r="C121" t="s">
        <v>1113</v>
      </c>
      <c r="D121" t="s">
        <v>106</v>
      </c>
      <c r="E121" t="s">
        <v>1114</v>
      </c>
      <c r="F121" t="s">
        <v>1115</v>
      </c>
      <c r="G121" t="s">
        <v>1116</v>
      </c>
      <c r="H121" t="s">
        <v>1395</v>
      </c>
      <c r="I121">
        <v>61</v>
      </c>
      <c r="J121" t="s">
        <v>1117</v>
      </c>
      <c r="K121" t="s">
        <v>111</v>
      </c>
      <c r="L121">
        <v>6</v>
      </c>
      <c r="M121" t="s">
        <v>89</v>
      </c>
      <c r="N121" t="s">
        <v>551</v>
      </c>
      <c r="O121" t="s">
        <v>1118</v>
      </c>
      <c r="P121" t="s">
        <v>285</v>
      </c>
      <c r="Q121" t="s">
        <v>64</v>
      </c>
      <c r="R121" t="s">
        <v>65</v>
      </c>
      <c r="S121" t="s">
        <v>66</v>
      </c>
      <c r="T121" t="s">
        <v>142</v>
      </c>
      <c r="U121" t="s">
        <v>900</v>
      </c>
      <c r="V121" t="s">
        <v>159</v>
      </c>
      <c r="W121">
        <v>43431</v>
      </c>
      <c r="X121">
        <v>42958</v>
      </c>
      <c r="Y121">
        <v>473</v>
      </c>
      <c r="Z121">
        <v>2083</v>
      </c>
      <c r="AA121" t="s">
        <v>98</v>
      </c>
      <c r="AB121" t="s">
        <v>145</v>
      </c>
      <c r="AC121" t="s">
        <v>71</v>
      </c>
      <c r="AD121" t="s">
        <v>191</v>
      </c>
      <c r="AE121">
        <v>4</v>
      </c>
      <c r="AF121">
        <v>50</v>
      </c>
      <c r="AG121">
        <v>79</v>
      </c>
      <c r="AH121" t="s">
        <v>96</v>
      </c>
      <c r="AI121">
        <v>78</v>
      </c>
      <c r="AJ121">
        <v>43</v>
      </c>
      <c r="AK121">
        <v>22</v>
      </c>
      <c r="AL121" t="s">
        <v>122</v>
      </c>
      <c r="AM121">
        <v>51</v>
      </c>
      <c r="AN121" t="s">
        <v>70</v>
      </c>
      <c r="AO121">
        <v>1</v>
      </c>
      <c r="AP121">
        <v>5</v>
      </c>
      <c r="AQ121" t="s">
        <v>1119</v>
      </c>
      <c r="AR121" t="s">
        <v>427</v>
      </c>
      <c r="AS121" t="s">
        <v>98</v>
      </c>
      <c r="AT121" t="s">
        <v>101</v>
      </c>
      <c r="AU121" t="s">
        <v>77</v>
      </c>
      <c r="AV121" t="s">
        <v>78</v>
      </c>
      <c r="AW121" t="s">
        <v>79</v>
      </c>
      <c r="AX121" t="str">
        <f t="shared" si="2"/>
        <v>Sinhgad Road</v>
      </c>
    </row>
    <row r="122" spans="1:50" x14ac:dyDescent="0.25">
      <c r="A122" t="s">
        <v>1120</v>
      </c>
      <c r="B122" t="s">
        <v>1333</v>
      </c>
      <c r="C122" t="s">
        <v>543</v>
      </c>
      <c r="D122" t="s">
        <v>106</v>
      </c>
      <c r="E122" t="s">
        <v>1121</v>
      </c>
      <c r="F122" t="s">
        <v>1122</v>
      </c>
      <c r="G122" t="s">
        <v>1123</v>
      </c>
      <c r="H122" t="s">
        <v>1395</v>
      </c>
      <c r="I122">
        <v>82</v>
      </c>
      <c r="J122" t="s">
        <v>1124</v>
      </c>
      <c r="K122" t="s">
        <v>294</v>
      </c>
      <c r="L122">
        <v>3</v>
      </c>
      <c r="M122" t="s">
        <v>89</v>
      </c>
      <c r="N122" t="s">
        <v>1076</v>
      </c>
      <c r="O122" t="s">
        <v>696</v>
      </c>
      <c r="P122" t="s">
        <v>384</v>
      </c>
      <c r="Q122" t="s">
        <v>116</v>
      </c>
      <c r="R122" t="s">
        <v>140</v>
      </c>
      <c r="S122" t="s">
        <v>219</v>
      </c>
      <c r="T122" t="s">
        <v>273</v>
      </c>
      <c r="U122" t="s">
        <v>217</v>
      </c>
      <c r="V122" t="s">
        <v>220</v>
      </c>
      <c r="W122">
        <v>16271</v>
      </c>
      <c r="X122">
        <v>16067</v>
      </c>
      <c r="Y122">
        <v>204</v>
      </c>
      <c r="Z122">
        <v>293</v>
      </c>
      <c r="AA122" t="s">
        <v>98</v>
      </c>
      <c r="AB122" t="s">
        <v>275</v>
      </c>
      <c r="AC122" t="s">
        <v>71</v>
      </c>
      <c r="AD122" t="s">
        <v>191</v>
      </c>
      <c r="AE122">
        <v>1</v>
      </c>
      <c r="AF122">
        <v>83</v>
      </c>
      <c r="AG122">
        <v>86</v>
      </c>
      <c r="AH122" t="s">
        <v>73</v>
      </c>
      <c r="AI122">
        <v>99</v>
      </c>
      <c r="AJ122">
        <v>47</v>
      </c>
      <c r="AK122">
        <v>39</v>
      </c>
      <c r="AL122" t="s">
        <v>122</v>
      </c>
      <c r="AM122">
        <v>82</v>
      </c>
      <c r="AN122" t="s">
        <v>98</v>
      </c>
      <c r="AO122">
        <v>5</v>
      </c>
      <c r="AP122">
        <v>4</v>
      </c>
      <c r="AQ122" t="s">
        <v>567</v>
      </c>
      <c r="AR122" t="s">
        <v>144</v>
      </c>
      <c r="AS122" t="s">
        <v>98</v>
      </c>
      <c r="AT122" t="s">
        <v>177</v>
      </c>
      <c r="AU122" t="s">
        <v>160</v>
      </c>
      <c r="AV122" t="s">
        <v>147</v>
      </c>
      <c r="AX122" t="str">
        <f t="shared" si="2"/>
        <v>Sinhgad Road</v>
      </c>
    </row>
    <row r="123" spans="1:50" x14ac:dyDescent="0.25">
      <c r="A123" t="s">
        <v>1125</v>
      </c>
      <c r="B123" t="s">
        <v>251</v>
      </c>
      <c r="C123" t="s">
        <v>1126</v>
      </c>
      <c r="D123" t="s">
        <v>52</v>
      </c>
      <c r="E123" t="s">
        <v>1127</v>
      </c>
      <c r="F123" t="s">
        <v>1128</v>
      </c>
      <c r="G123" t="s">
        <v>1129</v>
      </c>
      <c r="H123" t="s">
        <v>87</v>
      </c>
      <c r="I123">
        <v>74</v>
      </c>
      <c r="J123" t="s">
        <v>1130</v>
      </c>
      <c r="K123" t="s">
        <v>111</v>
      </c>
      <c r="L123">
        <v>12</v>
      </c>
      <c r="M123" t="s">
        <v>60</v>
      </c>
      <c r="N123" t="s">
        <v>714</v>
      </c>
      <c r="O123" t="s">
        <v>1131</v>
      </c>
      <c r="P123" t="s">
        <v>203</v>
      </c>
      <c r="Q123" t="s">
        <v>116</v>
      </c>
      <c r="R123" t="s">
        <v>140</v>
      </c>
      <c r="S123" t="s">
        <v>232</v>
      </c>
      <c r="T123" t="s">
        <v>118</v>
      </c>
      <c r="U123" t="s">
        <v>362</v>
      </c>
      <c r="V123" t="s">
        <v>362</v>
      </c>
      <c r="W123">
        <v>37022</v>
      </c>
      <c r="X123">
        <v>35158</v>
      </c>
      <c r="Y123">
        <v>1864</v>
      </c>
      <c r="Z123">
        <v>3743</v>
      </c>
      <c r="AA123" t="s">
        <v>70</v>
      </c>
      <c r="AC123" t="s">
        <v>71</v>
      </c>
      <c r="AD123" t="s">
        <v>95</v>
      </c>
      <c r="AE123">
        <v>6</v>
      </c>
      <c r="AF123">
        <v>75</v>
      </c>
      <c r="AG123">
        <v>83</v>
      </c>
      <c r="AH123" t="s">
        <v>73</v>
      </c>
      <c r="AI123">
        <v>77</v>
      </c>
      <c r="AJ123">
        <v>50</v>
      </c>
      <c r="AK123">
        <v>21</v>
      </c>
      <c r="AL123" t="s">
        <v>122</v>
      </c>
      <c r="AM123">
        <v>42</v>
      </c>
      <c r="AN123" t="s">
        <v>98</v>
      </c>
      <c r="AO123">
        <v>2</v>
      </c>
      <c r="AP123">
        <v>3</v>
      </c>
      <c r="AQ123" t="s">
        <v>751</v>
      </c>
      <c r="AR123" t="s">
        <v>525</v>
      </c>
      <c r="AS123" t="s">
        <v>70</v>
      </c>
      <c r="AT123" t="s">
        <v>76</v>
      </c>
      <c r="AU123" t="s">
        <v>77</v>
      </c>
      <c r="AV123" t="s">
        <v>78</v>
      </c>
      <c r="AW123" t="s">
        <v>102</v>
      </c>
      <c r="AX123" t="str">
        <f t="shared" si="2"/>
        <v>Sinhgad Road</v>
      </c>
    </row>
    <row r="124" spans="1:50" x14ac:dyDescent="0.25">
      <c r="A124" t="s">
        <v>1132</v>
      </c>
      <c r="B124" t="s">
        <v>50</v>
      </c>
      <c r="C124" t="s">
        <v>1133</v>
      </c>
      <c r="D124" t="s">
        <v>52</v>
      </c>
      <c r="E124" t="s">
        <v>1134</v>
      </c>
      <c r="F124" t="s">
        <v>1135</v>
      </c>
      <c r="G124" t="s">
        <v>1136</v>
      </c>
      <c r="H124" t="s">
        <v>1394</v>
      </c>
      <c r="I124">
        <v>64</v>
      </c>
      <c r="J124" t="s">
        <v>1137</v>
      </c>
      <c r="K124" t="s">
        <v>294</v>
      </c>
      <c r="L124">
        <v>12</v>
      </c>
      <c r="M124" t="s">
        <v>60</v>
      </c>
      <c r="N124" t="s">
        <v>206</v>
      </c>
      <c r="O124" t="s">
        <v>1138</v>
      </c>
      <c r="P124" t="s">
        <v>524</v>
      </c>
      <c r="Q124" t="s">
        <v>116</v>
      </c>
      <c r="R124" t="s">
        <v>140</v>
      </c>
      <c r="S124" t="s">
        <v>66</v>
      </c>
      <c r="T124" t="s">
        <v>67</v>
      </c>
      <c r="U124" t="s">
        <v>467</v>
      </c>
      <c r="V124" t="s">
        <v>467</v>
      </c>
      <c r="W124">
        <v>21174</v>
      </c>
      <c r="X124">
        <v>19848</v>
      </c>
      <c r="Y124">
        <v>1326</v>
      </c>
      <c r="Z124">
        <v>2831</v>
      </c>
      <c r="AA124" t="s">
        <v>70</v>
      </c>
      <c r="AC124" t="s">
        <v>71</v>
      </c>
      <c r="AD124" t="s">
        <v>121</v>
      </c>
      <c r="AE124">
        <v>5</v>
      </c>
      <c r="AF124">
        <v>73</v>
      </c>
      <c r="AG124">
        <v>82</v>
      </c>
      <c r="AH124" t="s">
        <v>234</v>
      </c>
      <c r="AI124">
        <v>98</v>
      </c>
      <c r="AJ124">
        <v>27</v>
      </c>
      <c r="AK124">
        <v>17</v>
      </c>
      <c r="AM124">
        <v>62</v>
      </c>
      <c r="AN124" t="s">
        <v>70</v>
      </c>
      <c r="AO124">
        <v>1</v>
      </c>
      <c r="AP124">
        <v>2</v>
      </c>
      <c r="AQ124" t="s">
        <v>397</v>
      </c>
      <c r="AR124" t="s">
        <v>233</v>
      </c>
      <c r="AS124" t="s">
        <v>98</v>
      </c>
      <c r="AT124" t="s">
        <v>287</v>
      </c>
      <c r="AU124" t="s">
        <v>126</v>
      </c>
      <c r="AV124" t="s">
        <v>78</v>
      </c>
      <c r="AW124" t="s">
        <v>102</v>
      </c>
      <c r="AX124" t="str">
        <f t="shared" si="2"/>
        <v>Sinhgad Road</v>
      </c>
    </row>
    <row r="125" spans="1:50" x14ac:dyDescent="0.25">
      <c r="A125" t="s">
        <v>1139</v>
      </c>
      <c r="B125" t="s">
        <v>443</v>
      </c>
      <c r="C125" t="s">
        <v>1140</v>
      </c>
      <c r="D125" t="s">
        <v>52</v>
      </c>
      <c r="E125" t="s">
        <v>1141</v>
      </c>
      <c r="F125" t="s">
        <v>1142</v>
      </c>
      <c r="G125" t="s">
        <v>1143</v>
      </c>
      <c r="H125" t="s">
        <v>87</v>
      </c>
      <c r="I125">
        <v>63</v>
      </c>
      <c r="J125" t="s">
        <v>1144</v>
      </c>
      <c r="K125" t="s">
        <v>294</v>
      </c>
      <c r="L125">
        <v>12</v>
      </c>
      <c r="M125" t="s">
        <v>89</v>
      </c>
      <c r="N125" t="s">
        <v>229</v>
      </c>
      <c r="O125" t="s">
        <v>1145</v>
      </c>
      <c r="P125" t="s">
        <v>231</v>
      </c>
      <c r="Q125" t="s">
        <v>116</v>
      </c>
      <c r="R125" t="s">
        <v>65</v>
      </c>
      <c r="S125" t="s">
        <v>219</v>
      </c>
      <c r="T125" t="s">
        <v>273</v>
      </c>
      <c r="U125" t="s">
        <v>201</v>
      </c>
      <c r="V125" t="s">
        <v>170</v>
      </c>
      <c r="W125">
        <v>26544</v>
      </c>
      <c r="X125">
        <v>23051</v>
      </c>
      <c r="Y125">
        <v>3493</v>
      </c>
      <c r="Z125">
        <v>4997</v>
      </c>
      <c r="AA125" t="s">
        <v>70</v>
      </c>
      <c r="AC125" t="s">
        <v>71</v>
      </c>
      <c r="AD125" t="s">
        <v>191</v>
      </c>
      <c r="AE125">
        <v>3</v>
      </c>
      <c r="AF125">
        <v>84</v>
      </c>
      <c r="AG125">
        <v>95</v>
      </c>
      <c r="AH125" t="s">
        <v>234</v>
      </c>
      <c r="AI125">
        <v>83</v>
      </c>
      <c r="AJ125">
        <v>40</v>
      </c>
      <c r="AK125">
        <v>37</v>
      </c>
      <c r="AM125">
        <v>92</v>
      </c>
      <c r="AN125" t="s">
        <v>70</v>
      </c>
      <c r="AO125">
        <v>3</v>
      </c>
      <c r="AP125">
        <v>5</v>
      </c>
      <c r="AQ125" t="s">
        <v>938</v>
      </c>
      <c r="AR125" t="s">
        <v>696</v>
      </c>
      <c r="AS125" t="s">
        <v>98</v>
      </c>
      <c r="AT125" t="s">
        <v>76</v>
      </c>
      <c r="AU125" t="s">
        <v>126</v>
      </c>
      <c r="AV125" t="s">
        <v>78</v>
      </c>
      <c r="AW125" t="s">
        <v>79</v>
      </c>
      <c r="AX125" t="str">
        <f t="shared" si="2"/>
        <v>Sinhgad Road</v>
      </c>
    </row>
    <row r="126" spans="1:50" x14ac:dyDescent="0.25">
      <c r="A126" t="s">
        <v>1146</v>
      </c>
      <c r="B126" t="s">
        <v>915</v>
      </c>
      <c r="C126" t="s">
        <v>1147</v>
      </c>
      <c r="D126" t="s">
        <v>106</v>
      </c>
      <c r="E126" t="s">
        <v>1148</v>
      </c>
      <c r="F126" t="s">
        <v>1149</v>
      </c>
      <c r="G126" t="s">
        <v>1150</v>
      </c>
      <c r="H126" t="s">
        <v>57</v>
      </c>
      <c r="I126">
        <v>72</v>
      </c>
      <c r="J126" t="s">
        <v>1151</v>
      </c>
      <c r="K126" t="s">
        <v>59</v>
      </c>
      <c r="L126">
        <v>3</v>
      </c>
      <c r="M126" t="s">
        <v>112</v>
      </c>
      <c r="N126" t="s">
        <v>705</v>
      </c>
      <c r="O126" t="s">
        <v>341</v>
      </c>
      <c r="P126" t="s">
        <v>371</v>
      </c>
      <c r="Q126" t="s">
        <v>204</v>
      </c>
      <c r="R126" t="s">
        <v>65</v>
      </c>
      <c r="S126" t="s">
        <v>141</v>
      </c>
      <c r="T126" t="s">
        <v>118</v>
      </c>
      <c r="U126" t="s">
        <v>476</v>
      </c>
      <c r="V126" t="s">
        <v>476</v>
      </c>
      <c r="W126">
        <v>24055</v>
      </c>
      <c r="X126">
        <v>23749</v>
      </c>
      <c r="Y126">
        <v>306</v>
      </c>
      <c r="Z126">
        <v>787</v>
      </c>
      <c r="AA126" t="s">
        <v>70</v>
      </c>
      <c r="AC126" t="s">
        <v>71</v>
      </c>
      <c r="AD126" t="s">
        <v>121</v>
      </c>
      <c r="AE126">
        <v>6</v>
      </c>
      <c r="AF126">
        <v>83</v>
      </c>
      <c r="AG126">
        <v>95</v>
      </c>
      <c r="AH126" t="s">
        <v>96</v>
      </c>
      <c r="AI126">
        <v>67</v>
      </c>
      <c r="AJ126">
        <v>53</v>
      </c>
      <c r="AK126">
        <v>52</v>
      </c>
      <c r="AL126" t="s">
        <v>122</v>
      </c>
      <c r="AM126">
        <v>100</v>
      </c>
      <c r="AN126" t="s">
        <v>70</v>
      </c>
      <c r="AO126">
        <v>3</v>
      </c>
      <c r="AP126">
        <v>2</v>
      </c>
      <c r="AQ126" t="s">
        <v>99</v>
      </c>
      <c r="AR126" t="s">
        <v>517</v>
      </c>
      <c r="AS126" t="s">
        <v>70</v>
      </c>
      <c r="AT126" t="s">
        <v>125</v>
      </c>
      <c r="AU126" t="s">
        <v>160</v>
      </c>
      <c r="AV126" t="s">
        <v>147</v>
      </c>
      <c r="AX126" t="str">
        <f t="shared" si="2"/>
        <v>Sinhgad Road</v>
      </c>
    </row>
    <row r="127" spans="1:50" x14ac:dyDescent="0.25">
      <c r="A127" t="s">
        <v>1152</v>
      </c>
      <c r="B127" t="s">
        <v>1345</v>
      </c>
      <c r="C127" t="s">
        <v>1057</v>
      </c>
      <c r="D127" t="s">
        <v>52</v>
      </c>
      <c r="E127" t="s">
        <v>1153</v>
      </c>
      <c r="F127" t="s">
        <v>1154</v>
      </c>
      <c r="G127" t="s">
        <v>1155</v>
      </c>
      <c r="H127" t="s">
        <v>1394</v>
      </c>
      <c r="I127">
        <v>76</v>
      </c>
      <c r="J127" t="s">
        <v>1156</v>
      </c>
      <c r="K127" t="s">
        <v>111</v>
      </c>
      <c r="L127">
        <v>3</v>
      </c>
      <c r="M127" t="s">
        <v>60</v>
      </c>
      <c r="N127" t="s">
        <v>220</v>
      </c>
      <c r="O127" t="s">
        <v>309</v>
      </c>
      <c r="P127" t="s">
        <v>384</v>
      </c>
      <c r="Q127" t="s">
        <v>116</v>
      </c>
      <c r="R127" t="s">
        <v>140</v>
      </c>
      <c r="S127" t="s">
        <v>219</v>
      </c>
      <c r="T127" t="s">
        <v>205</v>
      </c>
      <c r="U127" t="s">
        <v>449</v>
      </c>
      <c r="V127" t="s">
        <v>640</v>
      </c>
      <c r="W127">
        <v>47763</v>
      </c>
      <c r="X127">
        <v>46154</v>
      </c>
      <c r="Y127">
        <v>1609</v>
      </c>
      <c r="Z127">
        <v>2256</v>
      </c>
      <c r="AA127" t="s">
        <v>98</v>
      </c>
      <c r="AB127" t="s">
        <v>467</v>
      </c>
      <c r="AC127" t="s">
        <v>71</v>
      </c>
      <c r="AD127" t="s">
        <v>121</v>
      </c>
      <c r="AE127">
        <v>10</v>
      </c>
      <c r="AF127">
        <v>61</v>
      </c>
      <c r="AG127">
        <v>95</v>
      </c>
      <c r="AH127" t="s">
        <v>234</v>
      </c>
      <c r="AI127">
        <v>78</v>
      </c>
      <c r="AJ127">
        <v>38</v>
      </c>
      <c r="AK127">
        <v>16</v>
      </c>
      <c r="AL127" t="s">
        <v>122</v>
      </c>
      <c r="AM127">
        <v>42</v>
      </c>
      <c r="AN127" t="s">
        <v>98</v>
      </c>
      <c r="AO127">
        <v>2</v>
      </c>
      <c r="AP127">
        <v>2</v>
      </c>
      <c r="AQ127" t="s">
        <v>322</v>
      </c>
      <c r="AR127" t="s">
        <v>69</v>
      </c>
      <c r="AS127" t="s">
        <v>70</v>
      </c>
      <c r="AT127" t="s">
        <v>177</v>
      </c>
      <c r="AU127" t="s">
        <v>77</v>
      </c>
      <c r="AV127" t="s">
        <v>147</v>
      </c>
      <c r="AX127" t="str">
        <f t="shared" si="2"/>
        <v>Sinhgad Road</v>
      </c>
    </row>
    <row r="128" spans="1:50" x14ac:dyDescent="0.25">
      <c r="A128" t="s">
        <v>1157</v>
      </c>
      <c r="B128" t="s">
        <v>377</v>
      </c>
      <c r="C128" t="s">
        <v>1158</v>
      </c>
      <c r="D128" t="s">
        <v>130</v>
      </c>
      <c r="E128" t="s">
        <v>1159</v>
      </c>
      <c r="F128" t="s">
        <v>1160</v>
      </c>
      <c r="G128" t="s">
        <v>1161</v>
      </c>
      <c r="H128" t="s">
        <v>1395</v>
      </c>
      <c r="I128">
        <v>61</v>
      </c>
      <c r="J128" t="s">
        <v>1162</v>
      </c>
      <c r="K128" t="s">
        <v>294</v>
      </c>
      <c r="L128">
        <v>3</v>
      </c>
      <c r="M128" t="s">
        <v>89</v>
      </c>
      <c r="N128" t="s">
        <v>217</v>
      </c>
      <c r="O128" t="s">
        <v>387</v>
      </c>
      <c r="P128" t="s">
        <v>188</v>
      </c>
      <c r="Q128" t="s">
        <v>116</v>
      </c>
      <c r="R128" t="s">
        <v>65</v>
      </c>
      <c r="S128" t="s">
        <v>232</v>
      </c>
      <c r="T128" t="s">
        <v>67</v>
      </c>
      <c r="U128" t="s">
        <v>352</v>
      </c>
      <c r="V128" t="s">
        <v>341</v>
      </c>
      <c r="W128">
        <v>33335</v>
      </c>
      <c r="X128">
        <v>32260</v>
      </c>
      <c r="Y128">
        <v>1075</v>
      </c>
      <c r="Z128">
        <v>2385</v>
      </c>
      <c r="AA128" t="s">
        <v>98</v>
      </c>
      <c r="AB128" t="s">
        <v>429</v>
      </c>
      <c r="AC128" t="s">
        <v>71</v>
      </c>
      <c r="AD128" t="s">
        <v>191</v>
      </c>
      <c r="AE128">
        <v>7</v>
      </c>
      <c r="AF128">
        <v>68</v>
      </c>
      <c r="AG128">
        <v>93</v>
      </c>
      <c r="AH128" t="s">
        <v>73</v>
      </c>
      <c r="AI128">
        <v>96</v>
      </c>
      <c r="AJ128">
        <v>33</v>
      </c>
      <c r="AK128">
        <v>22</v>
      </c>
      <c r="AL128" t="s">
        <v>122</v>
      </c>
      <c r="AM128">
        <v>66</v>
      </c>
      <c r="AN128" t="s">
        <v>98</v>
      </c>
      <c r="AO128">
        <v>2</v>
      </c>
      <c r="AP128">
        <v>1</v>
      </c>
      <c r="AQ128" t="s">
        <v>1163</v>
      </c>
      <c r="AR128" t="s">
        <v>624</v>
      </c>
      <c r="AS128" t="s">
        <v>98</v>
      </c>
      <c r="AT128" t="s">
        <v>76</v>
      </c>
      <c r="AU128" t="s">
        <v>77</v>
      </c>
      <c r="AV128" t="s">
        <v>147</v>
      </c>
      <c r="AX128" t="str">
        <f t="shared" si="2"/>
        <v>Sinhgad Road</v>
      </c>
    </row>
    <row r="129" spans="1:50" x14ac:dyDescent="0.25">
      <c r="A129" t="s">
        <v>1164</v>
      </c>
      <c r="B129" t="s">
        <v>83</v>
      </c>
      <c r="C129" t="s">
        <v>961</v>
      </c>
      <c r="D129" t="s">
        <v>52</v>
      </c>
      <c r="E129" t="s">
        <v>1165</v>
      </c>
      <c r="F129" t="s">
        <v>829</v>
      </c>
      <c r="G129" t="s">
        <v>1166</v>
      </c>
      <c r="H129" t="s">
        <v>87</v>
      </c>
      <c r="I129">
        <v>87</v>
      </c>
      <c r="J129" t="s">
        <v>1167</v>
      </c>
      <c r="K129" t="s">
        <v>169</v>
      </c>
      <c r="L129">
        <v>6</v>
      </c>
      <c r="M129" t="s">
        <v>112</v>
      </c>
      <c r="N129" t="s">
        <v>694</v>
      </c>
      <c r="O129" t="s">
        <v>695</v>
      </c>
      <c r="P129" t="s">
        <v>320</v>
      </c>
      <c r="Q129" t="s">
        <v>64</v>
      </c>
      <c r="R129" t="s">
        <v>65</v>
      </c>
      <c r="S129" t="s">
        <v>66</v>
      </c>
      <c r="T129" t="s">
        <v>67</v>
      </c>
      <c r="U129" t="s">
        <v>900</v>
      </c>
      <c r="V129" t="s">
        <v>415</v>
      </c>
      <c r="W129">
        <v>33488</v>
      </c>
      <c r="X129">
        <v>30413</v>
      </c>
      <c r="Y129">
        <v>3075</v>
      </c>
      <c r="Z129">
        <v>3261</v>
      </c>
      <c r="AA129" t="s">
        <v>98</v>
      </c>
      <c r="AB129" t="s">
        <v>145</v>
      </c>
      <c r="AC129" t="s">
        <v>71</v>
      </c>
      <c r="AD129" t="s">
        <v>121</v>
      </c>
      <c r="AE129">
        <v>5</v>
      </c>
      <c r="AF129">
        <v>69</v>
      </c>
      <c r="AG129">
        <v>92</v>
      </c>
      <c r="AH129" t="s">
        <v>234</v>
      </c>
      <c r="AI129">
        <v>69</v>
      </c>
      <c r="AJ129">
        <v>36</v>
      </c>
      <c r="AK129">
        <v>33</v>
      </c>
      <c r="AM129">
        <v>100</v>
      </c>
      <c r="AN129" t="s">
        <v>70</v>
      </c>
      <c r="AO129">
        <v>2</v>
      </c>
      <c r="AP129">
        <v>3</v>
      </c>
      <c r="AQ129" t="s">
        <v>687</v>
      </c>
      <c r="AR129" t="s">
        <v>123</v>
      </c>
      <c r="AS129" t="s">
        <v>98</v>
      </c>
      <c r="AT129" t="s">
        <v>101</v>
      </c>
      <c r="AU129" t="s">
        <v>126</v>
      </c>
      <c r="AV129" t="s">
        <v>78</v>
      </c>
      <c r="AW129" t="s">
        <v>79</v>
      </c>
      <c r="AX129" t="str">
        <f t="shared" si="2"/>
        <v>Sinhgad Road</v>
      </c>
    </row>
    <row r="130" spans="1:50" x14ac:dyDescent="0.25">
      <c r="A130" t="s">
        <v>1168</v>
      </c>
      <c r="B130" t="s">
        <v>128</v>
      </c>
      <c r="C130" t="s">
        <v>51</v>
      </c>
      <c r="D130" t="s">
        <v>130</v>
      </c>
      <c r="E130" t="s">
        <v>1169</v>
      </c>
      <c r="F130" t="s">
        <v>1170</v>
      </c>
      <c r="G130" t="s">
        <v>1171</v>
      </c>
      <c r="H130" t="s">
        <v>1394</v>
      </c>
      <c r="I130">
        <v>89</v>
      </c>
      <c r="J130" t="s">
        <v>1172</v>
      </c>
      <c r="K130" t="s">
        <v>294</v>
      </c>
      <c r="L130">
        <v>12</v>
      </c>
      <c r="M130" t="s">
        <v>112</v>
      </c>
      <c r="N130" t="s">
        <v>466</v>
      </c>
      <c r="O130" t="s">
        <v>1173</v>
      </c>
      <c r="P130" t="s">
        <v>139</v>
      </c>
      <c r="Q130" t="s">
        <v>116</v>
      </c>
      <c r="R130" t="s">
        <v>140</v>
      </c>
      <c r="S130" t="s">
        <v>66</v>
      </c>
      <c r="T130" t="s">
        <v>205</v>
      </c>
      <c r="U130" t="s">
        <v>696</v>
      </c>
      <c r="V130" t="s">
        <v>373</v>
      </c>
      <c r="W130">
        <v>32295</v>
      </c>
      <c r="X130">
        <v>32187</v>
      </c>
      <c r="Y130">
        <v>108</v>
      </c>
      <c r="Z130">
        <v>196</v>
      </c>
      <c r="AA130" t="s">
        <v>98</v>
      </c>
      <c r="AB130" t="s">
        <v>1174</v>
      </c>
      <c r="AC130" t="s">
        <v>71</v>
      </c>
      <c r="AD130" t="s">
        <v>72</v>
      </c>
      <c r="AE130">
        <v>6</v>
      </c>
      <c r="AF130">
        <v>80</v>
      </c>
      <c r="AG130">
        <v>97</v>
      </c>
      <c r="AH130" t="s">
        <v>73</v>
      </c>
      <c r="AI130">
        <v>99</v>
      </c>
      <c r="AJ130">
        <v>37</v>
      </c>
      <c r="AK130">
        <v>26</v>
      </c>
      <c r="AL130" t="s">
        <v>122</v>
      </c>
      <c r="AM130">
        <v>40</v>
      </c>
      <c r="AN130" t="s">
        <v>70</v>
      </c>
      <c r="AO130">
        <v>4</v>
      </c>
      <c r="AP130">
        <v>4</v>
      </c>
      <c r="AQ130" t="s">
        <v>795</v>
      </c>
      <c r="AR130" t="s">
        <v>91</v>
      </c>
      <c r="AS130" t="s">
        <v>70</v>
      </c>
      <c r="AT130" t="s">
        <v>125</v>
      </c>
      <c r="AU130" t="s">
        <v>77</v>
      </c>
      <c r="AV130" t="s">
        <v>147</v>
      </c>
      <c r="AX130" t="str">
        <f t="shared" si="2"/>
        <v>Sinhgad Road</v>
      </c>
    </row>
    <row r="131" spans="1:50" x14ac:dyDescent="0.25">
      <c r="A131" t="s">
        <v>1175</v>
      </c>
      <c r="B131" t="s">
        <v>364</v>
      </c>
      <c r="C131" t="s">
        <v>129</v>
      </c>
      <c r="D131" t="s">
        <v>52</v>
      </c>
      <c r="E131" t="s">
        <v>1176</v>
      </c>
      <c r="F131" t="s">
        <v>1177</v>
      </c>
      <c r="G131" t="s">
        <v>1178</v>
      </c>
      <c r="H131" t="s">
        <v>1394</v>
      </c>
      <c r="I131">
        <v>70</v>
      </c>
      <c r="J131" t="s">
        <v>1179</v>
      </c>
      <c r="K131" t="s">
        <v>294</v>
      </c>
      <c r="L131">
        <v>12</v>
      </c>
      <c r="M131" t="s">
        <v>89</v>
      </c>
      <c r="N131" t="s">
        <v>262</v>
      </c>
      <c r="O131" t="s">
        <v>1180</v>
      </c>
      <c r="P131" t="s">
        <v>188</v>
      </c>
      <c r="Q131" t="s">
        <v>204</v>
      </c>
      <c r="R131" t="s">
        <v>140</v>
      </c>
      <c r="S131" t="s">
        <v>141</v>
      </c>
      <c r="T131" t="s">
        <v>142</v>
      </c>
      <c r="U131" t="s">
        <v>175</v>
      </c>
      <c r="V131" t="s">
        <v>999</v>
      </c>
      <c r="W131">
        <v>33476</v>
      </c>
      <c r="X131">
        <v>32289</v>
      </c>
      <c r="Y131">
        <v>1187</v>
      </c>
      <c r="Z131">
        <v>4267</v>
      </c>
      <c r="AA131" t="s">
        <v>98</v>
      </c>
      <c r="AB131" t="s">
        <v>341</v>
      </c>
      <c r="AC131" t="s">
        <v>71</v>
      </c>
      <c r="AD131" t="s">
        <v>95</v>
      </c>
      <c r="AE131">
        <v>6</v>
      </c>
      <c r="AF131">
        <v>50</v>
      </c>
      <c r="AG131">
        <v>63</v>
      </c>
      <c r="AH131" t="s">
        <v>234</v>
      </c>
      <c r="AI131">
        <v>96</v>
      </c>
      <c r="AJ131">
        <v>24</v>
      </c>
      <c r="AK131">
        <v>24</v>
      </c>
      <c r="AM131">
        <v>100</v>
      </c>
      <c r="AN131" t="s">
        <v>70</v>
      </c>
      <c r="AO131">
        <v>1</v>
      </c>
      <c r="AP131">
        <v>1</v>
      </c>
      <c r="AQ131" t="s">
        <v>440</v>
      </c>
      <c r="AR131" t="s">
        <v>900</v>
      </c>
      <c r="AS131" t="s">
        <v>98</v>
      </c>
      <c r="AT131" t="s">
        <v>287</v>
      </c>
      <c r="AU131" t="s">
        <v>126</v>
      </c>
      <c r="AV131" t="s">
        <v>78</v>
      </c>
      <c r="AW131" t="s">
        <v>276</v>
      </c>
      <c r="AX131" t="str">
        <f t="shared" ref="AX131:AX151" si="3">IF(LEFT(A131,2)="AU","Aundh",IF(LEFT(A131,2)="KO","Kondhwa","Sinhgad Road"))</f>
        <v>Sinhgad Road</v>
      </c>
    </row>
    <row r="132" spans="1:50" x14ac:dyDescent="0.25">
      <c r="A132" t="s">
        <v>1181</v>
      </c>
      <c r="B132" t="s">
        <v>162</v>
      </c>
      <c r="C132" t="s">
        <v>1182</v>
      </c>
      <c r="D132" t="s">
        <v>52</v>
      </c>
      <c r="E132" t="s">
        <v>1183</v>
      </c>
      <c r="F132" t="s">
        <v>1184</v>
      </c>
      <c r="G132" t="s">
        <v>1185</v>
      </c>
      <c r="H132" t="s">
        <v>87</v>
      </c>
      <c r="I132">
        <v>75</v>
      </c>
      <c r="J132" t="s">
        <v>1186</v>
      </c>
      <c r="K132" t="s">
        <v>169</v>
      </c>
      <c r="L132">
        <v>12</v>
      </c>
      <c r="M132" t="s">
        <v>60</v>
      </c>
      <c r="N132" t="s">
        <v>1062</v>
      </c>
      <c r="O132" t="s">
        <v>1187</v>
      </c>
      <c r="P132" t="s">
        <v>172</v>
      </c>
      <c r="Q132" t="s">
        <v>204</v>
      </c>
      <c r="R132" t="s">
        <v>65</v>
      </c>
      <c r="S132" t="s">
        <v>232</v>
      </c>
      <c r="T132" t="s">
        <v>67</v>
      </c>
      <c r="U132" t="s">
        <v>440</v>
      </c>
      <c r="V132" t="s">
        <v>209</v>
      </c>
      <c r="W132">
        <v>46278</v>
      </c>
      <c r="X132">
        <v>45890</v>
      </c>
      <c r="Y132">
        <v>388</v>
      </c>
      <c r="Z132">
        <v>4438</v>
      </c>
      <c r="AA132" t="s">
        <v>98</v>
      </c>
      <c r="AB132" t="s">
        <v>574</v>
      </c>
      <c r="AC132" t="s">
        <v>71</v>
      </c>
      <c r="AD132" t="s">
        <v>121</v>
      </c>
      <c r="AE132">
        <v>7</v>
      </c>
      <c r="AF132">
        <v>54</v>
      </c>
      <c r="AG132">
        <v>84</v>
      </c>
      <c r="AH132" t="s">
        <v>234</v>
      </c>
      <c r="AI132">
        <v>83</v>
      </c>
      <c r="AJ132">
        <v>58</v>
      </c>
      <c r="AK132">
        <v>50</v>
      </c>
      <c r="AL132" t="s">
        <v>97</v>
      </c>
      <c r="AM132">
        <v>86</v>
      </c>
      <c r="AN132" t="s">
        <v>70</v>
      </c>
      <c r="AO132">
        <v>5</v>
      </c>
      <c r="AP132">
        <v>5</v>
      </c>
      <c r="AQ132" t="s">
        <v>574</v>
      </c>
      <c r="AR132" t="s">
        <v>509</v>
      </c>
      <c r="AS132" t="s">
        <v>70</v>
      </c>
      <c r="AT132" t="s">
        <v>101</v>
      </c>
      <c r="AU132" t="s">
        <v>126</v>
      </c>
      <c r="AV132" t="s">
        <v>78</v>
      </c>
      <c r="AW132" t="s">
        <v>276</v>
      </c>
      <c r="AX132" t="str">
        <f t="shared" si="3"/>
        <v>Sinhgad Road</v>
      </c>
    </row>
    <row r="133" spans="1:50" x14ac:dyDescent="0.25">
      <c r="A133" t="s">
        <v>1188</v>
      </c>
      <c r="B133" t="s">
        <v>196</v>
      </c>
      <c r="C133" t="s">
        <v>487</v>
      </c>
      <c r="D133" t="s">
        <v>106</v>
      </c>
      <c r="E133" t="s">
        <v>1189</v>
      </c>
      <c r="F133" t="s">
        <v>1190</v>
      </c>
      <c r="G133" t="s">
        <v>1191</v>
      </c>
      <c r="H133" t="s">
        <v>135</v>
      </c>
      <c r="I133">
        <v>89</v>
      </c>
      <c r="J133" t="s">
        <v>1192</v>
      </c>
      <c r="K133" t="s">
        <v>169</v>
      </c>
      <c r="L133">
        <v>3</v>
      </c>
      <c r="M133" t="s">
        <v>60</v>
      </c>
      <c r="N133" t="s">
        <v>329</v>
      </c>
      <c r="O133" t="s">
        <v>475</v>
      </c>
      <c r="P133" t="s">
        <v>320</v>
      </c>
      <c r="Q133" t="s">
        <v>64</v>
      </c>
      <c r="R133" t="s">
        <v>140</v>
      </c>
      <c r="S133" t="s">
        <v>141</v>
      </c>
      <c r="T133" t="s">
        <v>67</v>
      </c>
      <c r="U133" t="s">
        <v>263</v>
      </c>
      <c r="V133" t="s">
        <v>298</v>
      </c>
      <c r="W133">
        <v>26240</v>
      </c>
      <c r="X133">
        <v>23932</v>
      </c>
      <c r="Y133">
        <v>2308</v>
      </c>
      <c r="Z133">
        <v>2659</v>
      </c>
      <c r="AA133" t="s">
        <v>70</v>
      </c>
      <c r="AC133" t="s">
        <v>71</v>
      </c>
      <c r="AD133" t="s">
        <v>121</v>
      </c>
      <c r="AE133">
        <v>5</v>
      </c>
      <c r="AF133">
        <v>49</v>
      </c>
      <c r="AG133">
        <v>65</v>
      </c>
      <c r="AH133" t="s">
        <v>73</v>
      </c>
      <c r="AI133">
        <v>92</v>
      </c>
      <c r="AJ133">
        <v>26</v>
      </c>
      <c r="AK133">
        <v>25</v>
      </c>
      <c r="AM133">
        <v>96</v>
      </c>
      <c r="AN133" t="s">
        <v>70</v>
      </c>
      <c r="AO133">
        <v>5</v>
      </c>
      <c r="AP133">
        <v>1</v>
      </c>
      <c r="AQ133" t="s">
        <v>502</v>
      </c>
      <c r="AR133" t="s">
        <v>351</v>
      </c>
      <c r="AS133" t="s">
        <v>70</v>
      </c>
      <c r="AT133" t="s">
        <v>177</v>
      </c>
      <c r="AU133" t="s">
        <v>160</v>
      </c>
      <c r="AV133" t="s">
        <v>78</v>
      </c>
      <c r="AW133" t="s">
        <v>276</v>
      </c>
      <c r="AX133" t="str">
        <f t="shared" si="3"/>
        <v>Sinhgad Road</v>
      </c>
    </row>
    <row r="134" spans="1:50" x14ac:dyDescent="0.25">
      <c r="A134" t="s">
        <v>1193</v>
      </c>
      <c r="B134" t="s">
        <v>131</v>
      </c>
      <c r="C134" t="s">
        <v>1194</v>
      </c>
      <c r="D134" t="s">
        <v>130</v>
      </c>
      <c r="E134" t="s">
        <v>1195</v>
      </c>
      <c r="F134" t="s">
        <v>481</v>
      </c>
      <c r="G134" t="s">
        <v>1196</v>
      </c>
      <c r="H134" t="s">
        <v>135</v>
      </c>
      <c r="I134">
        <v>70</v>
      </c>
      <c r="J134" t="s">
        <v>1197</v>
      </c>
      <c r="K134" t="s">
        <v>111</v>
      </c>
      <c r="L134">
        <v>6</v>
      </c>
      <c r="M134" t="s">
        <v>112</v>
      </c>
      <c r="N134" t="s">
        <v>1019</v>
      </c>
      <c r="O134" t="s">
        <v>399</v>
      </c>
      <c r="P134" t="s">
        <v>188</v>
      </c>
      <c r="Q134" t="s">
        <v>116</v>
      </c>
      <c r="R134" t="s">
        <v>65</v>
      </c>
      <c r="S134" t="s">
        <v>66</v>
      </c>
      <c r="T134" t="s">
        <v>142</v>
      </c>
      <c r="U134" t="s">
        <v>286</v>
      </c>
      <c r="V134" t="s">
        <v>476</v>
      </c>
      <c r="W134">
        <v>42298</v>
      </c>
      <c r="X134">
        <v>42293</v>
      </c>
      <c r="Y134">
        <v>5</v>
      </c>
      <c r="Z134">
        <v>246</v>
      </c>
      <c r="AA134" t="s">
        <v>70</v>
      </c>
      <c r="AC134" t="s">
        <v>71</v>
      </c>
      <c r="AD134" t="s">
        <v>95</v>
      </c>
      <c r="AE134">
        <v>9</v>
      </c>
      <c r="AF134">
        <v>42</v>
      </c>
      <c r="AG134">
        <v>92</v>
      </c>
      <c r="AH134" t="s">
        <v>73</v>
      </c>
      <c r="AI134">
        <v>63</v>
      </c>
      <c r="AJ134">
        <v>56</v>
      </c>
      <c r="AK134">
        <v>52</v>
      </c>
      <c r="AL134" t="s">
        <v>122</v>
      </c>
      <c r="AM134">
        <v>92</v>
      </c>
      <c r="AN134" t="s">
        <v>98</v>
      </c>
      <c r="AO134">
        <v>4</v>
      </c>
      <c r="AP134">
        <v>2</v>
      </c>
      <c r="AQ134" t="s">
        <v>416</v>
      </c>
      <c r="AR134" t="s">
        <v>1174</v>
      </c>
      <c r="AS134" t="s">
        <v>70</v>
      </c>
      <c r="AT134" t="s">
        <v>287</v>
      </c>
      <c r="AU134" t="s">
        <v>160</v>
      </c>
      <c r="AV134" t="s">
        <v>147</v>
      </c>
      <c r="AX134" t="str">
        <f t="shared" si="3"/>
        <v>Sinhgad Road</v>
      </c>
    </row>
    <row r="135" spans="1:50" x14ac:dyDescent="0.25">
      <c r="A135" t="s">
        <v>1198</v>
      </c>
      <c r="B135" t="s">
        <v>419</v>
      </c>
      <c r="C135" t="s">
        <v>1199</v>
      </c>
      <c r="D135" t="s">
        <v>106</v>
      </c>
      <c r="E135" t="s">
        <v>1200</v>
      </c>
      <c r="F135" t="s">
        <v>1201</v>
      </c>
      <c r="G135" t="s">
        <v>1202</v>
      </c>
      <c r="H135" t="s">
        <v>57</v>
      </c>
      <c r="I135">
        <v>68</v>
      </c>
      <c r="J135" t="s">
        <v>1203</v>
      </c>
      <c r="K135" t="s">
        <v>169</v>
      </c>
      <c r="L135">
        <v>12</v>
      </c>
      <c r="M135" t="s">
        <v>112</v>
      </c>
      <c r="N135" t="s">
        <v>395</v>
      </c>
      <c r="O135" t="s">
        <v>1204</v>
      </c>
      <c r="P135" t="s">
        <v>231</v>
      </c>
      <c r="Q135" t="s">
        <v>64</v>
      </c>
      <c r="R135" t="s">
        <v>65</v>
      </c>
      <c r="S135" t="s">
        <v>232</v>
      </c>
      <c r="T135" t="s">
        <v>205</v>
      </c>
      <c r="U135" t="s">
        <v>361</v>
      </c>
      <c r="V135" t="s">
        <v>274</v>
      </c>
      <c r="W135">
        <v>19105</v>
      </c>
      <c r="X135">
        <v>16632</v>
      </c>
      <c r="Y135">
        <v>2473</v>
      </c>
      <c r="Z135">
        <v>4817</v>
      </c>
      <c r="AA135" t="s">
        <v>98</v>
      </c>
      <c r="AB135" t="s">
        <v>598</v>
      </c>
      <c r="AC135" t="s">
        <v>71</v>
      </c>
      <c r="AD135" t="s">
        <v>95</v>
      </c>
      <c r="AE135">
        <v>3</v>
      </c>
      <c r="AF135">
        <v>82</v>
      </c>
      <c r="AG135">
        <v>85</v>
      </c>
      <c r="AH135" t="s">
        <v>73</v>
      </c>
      <c r="AI135">
        <v>80</v>
      </c>
      <c r="AJ135">
        <v>36</v>
      </c>
      <c r="AK135">
        <v>19</v>
      </c>
      <c r="AL135" t="s">
        <v>122</v>
      </c>
      <c r="AM135">
        <v>52</v>
      </c>
      <c r="AN135" t="s">
        <v>98</v>
      </c>
      <c r="AO135">
        <v>2</v>
      </c>
      <c r="AP135">
        <v>2</v>
      </c>
      <c r="AQ135" t="s">
        <v>340</v>
      </c>
      <c r="AR135" t="s">
        <v>1069</v>
      </c>
      <c r="AS135" t="s">
        <v>70</v>
      </c>
      <c r="AT135" t="s">
        <v>101</v>
      </c>
      <c r="AU135" t="s">
        <v>77</v>
      </c>
      <c r="AV135" t="s">
        <v>78</v>
      </c>
      <c r="AW135" t="s">
        <v>79</v>
      </c>
      <c r="AX135" t="str">
        <f t="shared" si="3"/>
        <v>Sinhgad Road</v>
      </c>
    </row>
    <row r="136" spans="1:50" x14ac:dyDescent="0.25">
      <c r="A136" t="s">
        <v>1205</v>
      </c>
      <c r="B136" t="s">
        <v>1343</v>
      </c>
      <c r="C136" t="s">
        <v>1206</v>
      </c>
      <c r="D136" t="s">
        <v>106</v>
      </c>
      <c r="E136" t="s">
        <v>1207</v>
      </c>
      <c r="F136" t="s">
        <v>1208</v>
      </c>
      <c r="G136" t="s">
        <v>1209</v>
      </c>
      <c r="H136" t="s">
        <v>87</v>
      </c>
      <c r="I136">
        <v>94</v>
      </c>
      <c r="J136" t="s">
        <v>1210</v>
      </c>
      <c r="K136" t="s">
        <v>294</v>
      </c>
      <c r="L136">
        <v>3</v>
      </c>
      <c r="M136" t="s">
        <v>112</v>
      </c>
      <c r="N136" t="s">
        <v>533</v>
      </c>
      <c r="O136" t="s">
        <v>307</v>
      </c>
      <c r="P136" t="s">
        <v>172</v>
      </c>
      <c r="Q136" t="s">
        <v>204</v>
      </c>
      <c r="R136" t="s">
        <v>65</v>
      </c>
      <c r="S136" t="s">
        <v>219</v>
      </c>
      <c r="T136" t="s">
        <v>118</v>
      </c>
      <c r="U136" t="s">
        <v>158</v>
      </c>
      <c r="V136" t="s">
        <v>158</v>
      </c>
      <c r="W136">
        <v>27390</v>
      </c>
      <c r="X136">
        <v>23996</v>
      </c>
      <c r="Y136">
        <v>3394</v>
      </c>
      <c r="Z136">
        <v>3563</v>
      </c>
      <c r="AA136" t="s">
        <v>98</v>
      </c>
      <c r="AB136" t="s">
        <v>309</v>
      </c>
      <c r="AC136" t="s">
        <v>71</v>
      </c>
      <c r="AD136" t="s">
        <v>191</v>
      </c>
      <c r="AE136">
        <v>1</v>
      </c>
      <c r="AF136">
        <v>41</v>
      </c>
      <c r="AG136">
        <v>76</v>
      </c>
      <c r="AH136" t="s">
        <v>96</v>
      </c>
      <c r="AI136">
        <v>89</v>
      </c>
      <c r="AJ136">
        <v>59</v>
      </c>
      <c r="AK136">
        <v>59</v>
      </c>
      <c r="AL136" t="s">
        <v>97</v>
      </c>
      <c r="AM136">
        <v>50</v>
      </c>
      <c r="AN136" t="s">
        <v>70</v>
      </c>
      <c r="AO136">
        <v>4</v>
      </c>
      <c r="AP136">
        <v>2</v>
      </c>
      <c r="AQ136" t="s">
        <v>900</v>
      </c>
      <c r="AR136" t="s">
        <v>1163</v>
      </c>
      <c r="AS136" t="s">
        <v>98</v>
      </c>
      <c r="AT136" t="s">
        <v>177</v>
      </c>
      <c r="AU136" t="s">
        <v>77</v>
      </c>
      <c r="AV136" t="s">
        <v>147</v>
      </c>
      <c r="AX136" t="str">
        <f t="shared" si="3"/>
        <v>Sinhgad Road</v>
      </c>
    </row>
    <row r="137" spans="1:50" x14ac:dyDescent="0.25">
      <c r="A137" t="s">
        <v>1211</v>
      </c>
      <c r="B137" t="s">
        <v>179</v>
      </c>
      <c r="C137" t="s">
        <v>1212</v>
      </c>
      <c r="D137" t="s">
        <v>52</v>
      </c>
      <c r="E137" t="s">
        <v>1213</v>
      </c>
      <c r="F137" t="s">
        <v>1214</v>
      </c>
      <c r="G137" t="s">
        <v>1215</v>
      </c>
      <c r="H137" t="s">
        <v>1395</v>
      </c>
      <c r="I137">
        <v>87</v>
      </c>
      <c r="J137" t="s">
        <v>1216</v>
      </c>
      <c r="K137" t="s">
        <v>111</v>
      </c>
      <c r="L137">
        <v>3</v>
      </c>
      <c r="M137" t="s">
        <v>89</v>
      </c>
      <c r="N137" t="s">
        <v>1062</v>
      </c>
      <c r="O137" t="s">
        <v>938</v>
      </c>
      <c r="P137" t="s">
        <v>297</v>
      </c>
      <c r="Q137" t="s">
        <v>204</v>
      </c>
      <c r="R137" t="s">
        <v>140</v>
      </c>
      <c r="S137" t="s">
        <v>219</v>
      </c>
      <c r="T137" t="s">
        <v>67</v>
      </c>
      <c r="U137" t="s">
        <v>966</v>
      </c>
      <c r="V137" t="s">
        <v>158</v>
      </c>
      <c r="W137">
        <v>49812</v>
      </c>
      <c r="X137">
        <v>49036</v>
      </c>
      <c r="Y137">
        <v>776</v>
      </c>
      <c r="Z137">
        <v>3907</v>
      </c>
      <c r="AA137" t="s">
        <v>98</v>
      </c>
      <c r="AB137" t="s">
        <v>750</v>
      </c>
      <c r="AC137" t="s">
        <v>71</v>
      </c>
      <c r="AD137" t="s">
        <v>121</v>
      </c>
      <c r="AE137">
        <v>10</v>
      </c>
      <c r="AF137">
        <v>50</v>
      </c>
      <c r="AG137">
        <v>77</v>
      </c>
      <c r="AH137" t="s">
        <v>234</v>
      </c>
      <c r="AI137">
        <v>77</v>
      </c>
      <c r="AJ137">
        <v>57</v>
      </c>
      <c r="AK137">
        <v>28</v>
      </c>
      <c r="AM137">
        <v>49</v>
      </c>
      <c r="AN137" t="s">
        <v>70</v>
      </c>
      <c r="AO137">
        <v>5</v>
      </c>
      <c r="AP137">
        <v>1</v>
      </c>
      <c r="AQ137" t="s">
        <v>119</v>
      </c>
      <c r="AR137" t="s">
        <v>1163</v>
      </c>
      <c r="AS137" t="s">
        <v>70</v>
      </c>
      <c r="AT137" t="s">
        <v>76</v>
      </c>
      <c r="AU137" t="s">
        <v>126</v>
      </c>
      <c r="AV137" t="s">
        <v>147</v>
      </c>
      <c r="AX137" t="str">
        <f t="shared" si="3"/>
        <v>Sinhgad Road</v>
      </c>
    </row>
    <row r="138" spans="1:50" x14ac:dyDescent="0.25">
      <c r="A138" t="s">
        <v>1217</v>
      </c>
      <c r="B138" t="s">
        <v>1344</v>
      </c>
      <c r="C138" t="s">
        <v>895</v>
      </c>
      <c r="D138" t="s">
        <v>130</v>
      </c>
      <c r="E138" t="s">
        <v>1218</v>
      </c>
      <c r="F138" t="s">
        <v>1219</v>
      </c>
      <c r="G138" t="s">
        <v>1220</v>
      </c>
      <c r="H138" t="s">
        <v>57</v>
      </c>
      <c r="I138">
        <v>78</v>
      </c>
      <c r="J138" t="s">
        <v>1221</v>
      </c>
      <c r="K138" t="s">
        <v>169</v>
      </c>
      <c r="L138">
        <v>6</v>
      </c>
      <c r="M138" t="s">
        <v>89</v>
      </c>
      <c r="N138" t="s">
        <v>1062</v>
      </c>
      <c r="O138" t="s">
        <v>146</v>
      </c>
      <c r="P138" t="s">
        <v>63</v>
      </c>
      <c r="Q138" t="s">
        <v>64</v>
      </c>
      <c r="R138" t="s">
        <v>140</v>
      </c>
      <c r="S138" t="s">
        <v>66</v>
      </c>
      <c r="T138" t="s">
        <v>273</v>
      </c>
      <c r="U138" t="s">
        <v>340</v>
      </c>
      <c r="V138" t="s">
        <v>450</v>
      </c>
      <c r="W138">
        <v>33401</v>
      </c>
      <c r="X138">
        <v>32134</v>
      </c>
      <c r="Y138">
        <v>1267</v>
      </c>
      <c r="Z138">
        <v>2830</v>
      </c>
      <c r="AA138" t="s">
        <v>70</v>
      </c>
      <c r="AC138" t="s">
        <v>71</v>
      </c>
      <c r="AD138" t="s">
        <v>121</v>
      </c>
      <c r="AE138">
        <v>4</v>
      </c>
      <c r="AF138">
        <v>55</v>
      </c>
      <c r="AG138">
        <v>84</v>
      </c>
      <c r="AH138" t="s">
        <v>234</v>
      </c>
      <c r="AI138">
        <v>60</v>
      </c>
      <c r="AJ138">
        <v>46</v>
      </c>
      <c r="AK138">
        <v>42</v>
      </c>
      <c r="AL138" t="s">
        <v>97</v>
      </c>
      <c r="AM138">
        <v>91</v>
      </c>
      <c r="AN138" t="s">
        <v>98</v>
      </c>
      <c r="AO138">
        <v>3</v>
      </c>
      <c r="AP138">
        <v>2</v>
      </c>
      <c r="AQ138" t="s">
        <v>429</v>
      </c>
      <c r="AR138" t="s">
        <v>781</v>
      </c>
      <c r="AS138" t="s">
        <v>70</v>
      </c>
      <c r="AT138" t="s">
        <v>287</v>
      </c>
      <c r="AU138" t="s">
        <v>126</v>
      </c>
      <c r="AV138" t="s">
        <v>147</v>
      </c>
      <c r="AX138" t="str">
        <f t="shared" si="3"/>
        <v>Sinhgad Road</v>
      </c>
    </row>
    <row r="139" spans="1:50" x14ac:dyDescent="0.25">
      <c r="A139" t="s">
        <v>1222</v>
      </c>
      <c r="B139" t="s">
        <v>1342</v>
      </c>
      <c r="C139" t="s">
        <v>1223</v>
      </c>
      <c r="D139" t="s">
        <v>52</v>
      </c>
      <c r="E139" t="s">
        <v>1224</v>
      </c>
      <c r="F139" t="s">
        <v>1225</v>
      </c>
      <c r="G139" t="s">
        <v>1226</v>
      </c>
      <c r="H139" t="s">
        <v>1394</v>
      </c>
      <c r="I139">
        <v>83</v>
      </c>
      <c r="J139" t="s">
        <v>1227</v>
      </c>
      <c r="K139" t="s">
        <v>169</v>
      </c>
      <c r="L139">
        <v>3</v>
      </c>
      <c r="M139" t="s">
        <v>89</v>
      </c>
      <c r="N139" t="s">
        <v>318</v>
      </c>
      <c r="O139" t="s">
        <v>566</v>
      </c>
      <c r="P139" t="s">
        <v>115</v>
      </c>
      <c r="Q139" t="s">
        <v>116</v>
      </c>
      <c r="R139" t="s">
        <v>65</v>
      </c>
      <c r="S139" t="s">
        <v>141</v>
      </c>
      <c r="T139" t="s">
        <v>118</v>
      </c>
      <c r="U139" t="s">
        <v>999</v>
      </c>
      <c r="V139" t="s">
        <v>206</v>
      </c>
      <c r="W139">
        <v>18755</v>
      </c>
      <c r="X139">
        <v>18447</v>
      </c>
      <c r="Y139">
        <v>308</v>
      </c>
      <c r="Z139">
        <v>977</v>
      </c>
      <c r="AA139" t="s">
        <v>70</v>
      </c>
      <c r="AC139" t="s">
        <v>71</v>
      </c>
      <c r="AD139" t="s">
        <v>121</v>
      </c>
      <c r="AE139">
        <v>8</v>
      </c>
      <c r="AF139">
        <v>86</v>
      </c>
      <c r="AG139">
        <v>90</v>
      </c>
      <c r="AH139" t="s">
        <v>73</v>
      </c>
      <c r="AI139">
        <v>99</v>
      </c>
      <c r="AJ139">
        <v>41</v>
      </c>
      <c r="AK139">
        <v>17</v>
      </c>
      <c r="AL139" t="s">
        <v>122</v>
      </c>
      <c r="AM139">
        <v>41</v>
      </c>
      <c r="AN139" t="s">
        <v>98</v>
      </c>
      <c r="AO139">
        <v>4</v>
      </c>
      <c r="AP139">
        <v>2</v>
      </c>
      <c r="AQ139" t="s">
        <v>120</v>
      </c>
      <c r="AR139" t="s">
        <v>1228</v>
      </c>
      <c r="AS139" t="s">
        <v>98</v>
      </c>
      <c r="AT139" t="s">
        <v>287</v>
      </c>
      <c r="AU139" t="s">
        <v>77</v>
      </c>
      <c r="AV139" t="s">
        <v>147</v>
      </c>
      <c r="AX139" t="str">
        <f t="shared" si="3"/>
        <v>Sinhgad Road</v>
      </c>
    </row>
    <row r="140" spans="1:50" x14ac:dyDescent="0.25">
      <c r="A140" t="s">
        <v>1229</v>
      </c>
      <c r="B140" t="s">
        <v>151</v>
      </c>
      <c r="C140" t="s">
        <v>1230</v>
      </c>
      <c r="D140" t="s">
        <v>106</v>
      </c>
      <c r="E140" t="s">
        <v>1231</v>
      </c>
      <c r="F140" t="s">
        <v>1232</v>
      </c>
      <c r="G140" t="s">
        <v>1233</v>
      </c>
      <c r="H140" t="s">
        <v>1395</v>
      </c>
      <c r="I140">
        <v>80</v>
      </c>
      <c r="J140" t="s">
        <v>1234</v>
      </c>
      <c r="K140" t="s">
        <v>294</v>
      </c>
      <c r="L140">
        <v>12</v>
      </c>
      <c r="M140" t="s">
        <v>112</v>
      </c>
      <c r="N140" t="s">
        <v>832</v>
      </c>
      <c r="O140" t="s">
        <v>1235</v>
      </c>
      <c r="P140" t="s">
        <v>550</v>
      </c>
      <c r="Q140" t="s">
        <v>204</v>
      </c>
      <c r="R140" t="s">
        <v>65</v>
      </c>
      <c r="S140" t="s">
        <v>232</v>
      </c>
      <c r="T140" t="s">
        <v>273</v>
      </c>
      <c r="U140" t="s">
        <v>246</v>
      </c>
      <c r="V140" t="s">
        <v>247</v>
      </c>
      <c r="W140">
        <v>35493</v>
      </c>
      <c r="X140">
        <v>35009</v>
      </c>
      <c r="Y140">
        <v>484</v>
      </c>
      <c r="Z140">
        <v>757</v>
      </c>
      <c r="AA140" t="s">
        <v>70</v>
      </c>
      <c r="AC140" t="s">
        <v>71</v>
      </c>
      <c r="AD140" t="s">
        <v>95</v>
      </c>
      <c r="AE140">
        <v>4</v>
      </c>
      <c r="AF140">
        <v>83</v>
      </c>
      <c r="AG140">
        <v>98</v>
      </c>
      <c r="AH140" t="s">
        <v>96</v>
      </c>
      <c r="AI140">
        <v>81</v>
      </c>
      <c r="AJ140">
        <v>48</v>
      </c>
      <c r="AK140">
        <v>42</v>
      </c>
      <c r="AM140">
        <v>87</v>
      </c>
      <c r="AN140" t="s">
        <v>98</v>
      </c>
      <c r="AO140">
        <v>4</v>
      </c>
      <c r="AP140">
        <v>2</v>
      </c>
      <c r="AQ140" t="s">
        <v>883</v>
      </c>
      <c r="AR140" t="s">
        <v>966</v>
      </c>
      <c r="AS140" t="s">
        <v>70</v>
      </c>
      <c r="AT140" t="s">
        <v>76</v>
      </c>
      <c r="AU140" t="s">
        <v>160</v>
      </c>
      <c r="AV140" t="s">
        <v>147</v>
      </c>
      <c r="AX140" t="str">
        <f t="shared" si="3"/>
        <v>Sinhgad Road</v>
      </c>
    </row>
    <row r="141" spans="1:50" x14ac:dyDescent="0.25">
      <c r="A141" t="s">
        <v>1236</v>
      </c>
      <c r="B141" t="s">
        <v>194</v>
      </c>
      <c r="C141" t="s">
        <v>1237</v>
      </c>
      <c r="D141" t="s">
        <v>130</v>
      </c>
      <c r="E141" t="s">
        <v>1238</v>
      </c>
      <c r="F141" t="s">
        <v>1239</v>
      </c>
      <c r="G141" t="s">
        <v>1240</v>
      </c>
      <c r="H141" t="s">
        <v>1394</v>
      </c>
      <c r="I141">
        <v>83</v>
      </c>
      <c r="J141" t="s">
        <v>1241</v>
      </c>
      <c r="K141" t="s">
        <v>294</v>
      </c>
      <c r="L141">
        <v>3</v>
      </c>
      <c r="M141" t="s">
        <v>60</v>
      </c>
      <c r="N141" t="s">
        <v>449</v>
      </c>
      <c r="O141" t="s">
        <v>766</v>
      </c>
      <c r="P141" t="s">
        <v>188</v>
      </c>
      <c r="Q141" t="s">
        <v>116</v>
      </c>
      <c r="R141" t="s">
        <v>65</v>
      </c>
      <c r="S141" t="s">
        <v>219</v>
      </c>
      <c r="T141" t="s">
        <v>142</v>
      </c>
      <c r="U141" t="s">
        <v>415</v>
      </c>
      <c r="V141" t="s">
        <v>658</v>
      </c>
      <c r="W141">
        <v>19932</v>
      </c>
      <c r="X141">
        <v>17077</v>
      </c>
      <c r="Y141">
        <v>2855</v>
      </c>
      <c r="Z141">
        <v>3874</v>
      </c>
      <c r="AA141" t="s">
        <v>98</v>
      </c>
      <c r="AB141" t="s">
        <v>926</v>
      </c>
      <c r="AC141" t="s">
        <v>71</v>
      </c>
      <c r="AD141" t="s">
        <v>95</v>
      </c>
      <c r="AE141">
        <v>8</v>
      </c>
      <c r="AF141">
        <v>78</v>
      </c>
      <c r="AG141">
        <v>87</v>
      </c>
      <c r="AH141" t="s">
        <v>73</v>
      </c>
      <c r="AI141">
        <v>60</v>
      </c>
      <c r="AJ141">
        <v>30</v>
      </c>
      <c r="AK141">
        <v>28</v>
      </c>
      <c r="AL141" t="s">
        <v>97</v>
      </c>
      <c r="AM141">
        <v>93</v>
      </c>
      <c r="AN141" t="s">
        <v>98</v>
      </c>
      <c r="AO141">
        <v>2</v>
      </c>
      <c r="AP141">
        <v>3</v>
      </c>
      <c r="AQ141" t="s">
        <v>686</v>
      </c>
      <c r="AR141" t="s">
        <v>796</v>
      </c>
      <c r="AS141" t="s">
        <v>98</v>
      </c>
      <c r="AT141" t="s">
        <v>101</v>
      </c>
      <c r="AU141" t="s">
        <v>126</v>
      </c>
      <c r="AV141" t="s">
        <v>78</v>
      </c>
      <c r="AW141" t="s">
        <v>102</v>
      </c>
      <c r="AX141" t="str">
        <f t="shared" si="3"/>
        <v>Sinhgad Road</v>
      </c>
    </row>
    <row r="142" spans="1:50" x14ac:dyDescent="0.25">
      <c r="A142" t="s">
        <v>1242</v>
      </c>
      <c r="B142" t="s">
        <v>355</v>
      </c>
      <c r="C142" t="s">
        <v>1243</v>
      </c>
      <c r="D142" t="s">
        <v>52</v>
      </c>
      <c r="E142" t="s">
        <v>1244</v>
      </c>
      <c r="F142" t="s">
        <v>1245</v>
      </c>
      <c r="G142" t="s">
        <v>1246</v>
      </c>
      <c r="H142" t="s">
        <v>135</v>
      </c>
      <c r="I142">
        <v>94</v>
      </c>
      <c r="J142" t="s">
        <v>1247</v>
      </c>
      <c r="K142" t="s">
        <v>294</v>
      </c>
      <c r="L142">
        <v>12</v>
      </c>
      <c r="M142" t="s">
        <v>60</v>
      </c>
      <c r="N142" t="s">
        <v>1248</v>
      </c>
      <c r="O142" t="s">
        <v>1249</v>
      </c>
      <c r="P142" t="s">
        <v>259</v>
      </c>
      <c r="Q142" t="s">
        <v>116</v>
      </c>
      <c r="R142" t="s">
        <v>65</v>
      </c>
      <c r="S142" t="s">
        <v>66</v>
      </c>
      <c r="T142" t="s">
        <v>67</v>
      </c>
      <c r="U142" t="s">
        <v>583</v>
      </c>
      <c r="V142" t="s">
        <v>246</v>
      </c>
      <c r="W142">
        <v>18740</v>
      </c>
      <c r="X142">
        <v>16160</v>
      </c>
      <c r="Y142">
        <v>2580</v>
      </c>
      <c r="Z142">
        <v>2662</v>
      </c>
      <c r="AA142" t="s">
        <v>98</v>
      </c>
      <c r="AB142" t="s">
        <v>666</v>
      </c>
      <c r="AC142" t="s">
        <v>71</v>
      </c>
      <c r="AD142" t="s">
        <v>121</v>
      </c>
      <c r="AE142">
        <v>4</v>
      </c>
      <c r="AF142">
        <v>44</v>
      </c>
      <c r="AG142">
        <v>98</v>
      </c>
      <c r="AH142" t="s">
        <v>73</v>
      </c>
      <c r="AI142">
        <v>68</v>
      </c>
      <c r="AJ142">
        <v>33</v>
      </c>
      <c r="AK142">
        <v>25</v>
      </c>
      <c r="AL142" t="s">
        <v>122</v>
      </c>
      <c r="AM142">
        <v>75</v>
      </c>
      <c r="AN142" t="s">
        <v>98</v>
      </c>
      <c r="AO142">
        <v>5</v>
      </c>
      <c r="AP142">
        <v>2</v>
      </c>
      <c r="AQ142" t="s">
        <v>999</v>
      </c>
      <c r="AR142" t="s">
        <v>275</v>
      </c>
      <c r="AS142" t="s">
        <v>98</v>
      </c>
      <c r="AT142" t="s">
        <v>101</v>
      </c>
      <c r="AU142" t="s">
        <v>160</v>
      </c>
      <c r="AV142" t="s">
        <v>78</v>
      </c>
      <c r="AW142" t="s">
        <v>102</v>
      </c>
      <c r="AX142" t="str">
        <f t="shared" si="3"/>
        <v>Sinhgad Road</v>
      </c>
    </row>
    <row r="143" spans="1:50" x14ac:dyDescent="0.25">
      <c r="A143" t="s">
        <v>1250</v>
      </c>
      <c r="B143" t="s">
        <v>941</v>
      </c>
      <c r="C143" t="s">
        <v>1251</v>
      </c>
      <c r="D143" t="s">
        <v>130</v>
      </c>
      <c r="E143" t="s">
        <v>1252</v>
      </c>
      <c r="F143" t="s">
        <v>1253</v>
      </c>
      <c r="G143" t="s">
        <v>1254</v>
      </c>
      <c r="H143" t="s">
        <v>87</v>
      </c>
      <c r="I143">
        <v>64</v>
      </c>
      <c r="J143" t="s">
        <v>1255</v>
      </c>
      <c r="K143" t="s">
        <v>242</v>
      </c>
      <c r="L143">
        <v>6</v>
      </c>
      <c r="M143" t="s">
        <v>89</v>
      </c>
      <c r="N143" t="s">
        <v>1256</v>
      </c>
      <c r="O143" t="s">
        <v>1257</v>
      </c>
      <c r="P143" t="s">
        <v>559</v>
      </c>
      <c r="Q143" t="s">
        <v>64</v>
      </c>
      <c r="R143" t="s">
        <v>65</v>
      </c>
      <c r="S143" t="s">
        <v>219</v>
      </c>
      <c r="T143" t="s">
        <v>205</v>
      </c>
      <c r="U143" t="s">
        <v>360</v>
      </c>
      <c r="V143" t="s">
        <v>246</v>
      </c>
      <c r="W143">
        <v>43498</v>
      </c>
      <c r="X143">
        <v>43005</v>
      </c>
      <c r="Y143">
        <v>493</v>
      </c>
      <c r="Z143">
        <v>765</v>
      </c>
      <c r="AA143" t="s">
        <v>70</v>
      </c>
      <c r="AC143" t="s">
        <v>71</v>
      </c>
      <c r="AD143" t="s">
        <v>121</v>
      </c>
      <c r="AE143">
        <v>8</v>
      </c>
      <c r="AF143">
        <v>80</v>
      </c>
      <c r="AG143">
        <v>96</v>
      </c>
      <c r="AH143" t="s">
        <v>73</v>
      </c>
      <c r="AI143">
        <v>75</v>
      </c>
      <c r="AJ143">
        <v>56</v>
      </c>
      <c r="AK143">
        <v>30</v>
      </c>
      <c r="AM143">
        <v>53</v>
      </c>
      <c r="AN143" t="s">
        <v>98</v>
      </c>
      <c r="AO143">
        <v>3</v>
      </c>
      <c r="AP143">
        <v>4</v>
      </c>
      <c r="AQ143" t="s">
        <v>468</v>
      </c>
      <c r="AR143" t="s">
        <v>567</v>
      </c>
      <c r="AS143" t="s">
        <v>70</v>
      </c>
      <c r="AT143" t="s">
        <v>125</v>
      </c>
      <c r="AU143" t="s">
        <v>77</v>
      </c>
      <c r="AV143" t="s">
        <v>147</v>
      </c>
      <c r="AX143" t="str">
        <f t="shared" si="3"/>
        <v>Sinhgad Road</v>
      </c>
    </row>
    <row r="144" spans="1:50" x14ac:dyDescent="0.25">
      <c r="A144" t="s">
        <v>1258</v>
      </c>
      <c r="B144" t="s">
        <v>527</v>
      </c>
      <c r="C144" t="s">
        <v>1259</v>
      </c>
      <c r="D144" t="s">
        <v>52</v>
      </c>
      <c r="E144" t="s">
        <v>1260</v>
      </c>
      <c r="F144" t="s">
        <v>1261</v>
      </c>
      <c r="G144" t="s">
        <v>1262</v>
      </c>
      <c r="H144" t="s">
        <v>87</v>
      </c>
      <c r="I144">
        <v>90</v>
      </c>
      <c r="J144" t="s">
        <v>1263</v>
      </c>
      <c r="K144" t="s">
        <v>59</v>
      </c>
      <c r="L144">
        <v>12</v>
      </c>
      <c r="M144" t="s">
        <v>60</v>
      </c>
      <c r="N144" t="s">
        <v>533</v>
      </c>
      <c r="O144" t="s">
        <v>534</v>
      </c>
      <c r="P144" t="s">
        <v>92</v>
      </c>
      <c r="Q144" t="s">
        <v>64</v>
      </c>
      <c r="R144" t="s">
        <v>140</v>
      </c>
      <c r="S144" t="s">
        <v>219</v>
      </c>
      <c r="T144" t="s">
        <v>273</v>
      </c>
      <c r="U144" t="s">
        <v>143</v>
      </c>
      <c r="V144" t="s">
        <v>696</v>
      </c>
      <c r="W144">
        <v>30762</v>
      </c>
      <c r="X144">
        <v>30430</v>
      </c>
      <c r="Y144">
        <v>332</v>
      </c>
      <c r="Z144">
        <v>1231</v>
      </c>
      <c r="AA144" t="s">
        <v>98</v>
      </c>
      <c r="AB144" t="s">
        <v>310</v>
      </c>
      <c r="AC144" t="s">
        <v>71</v>
      </c>
      <c r="AD144" t="s">
        <v>121</v>
      </c>
      <c r="AE144">
        <v>2</v>
      </c>
      <c r="AF144">
        <v>78</v>
      </c>
      <c r="AG144">
        <v>80</v>
      </c>
      <c r="AH144" t="s">
        <v>234</v>
      </c>
      <c r="AI144">
        <v>66</v>
      </c>
      <c r="AJ144">
        <v>48</v>
      </c>
      <c r="AK144">
        <v>25</v>
      </c>
      <c r="AL144" t="s">
        <v>122</v>
      </c>
      <c r="AM144">
        <v>52</v>
      </c>
      <c r="AN144" t="s">
        <v>98</v>
      </c>
      <c r="AO144">
        <v>2</v>
      </c>
      <c r="AP144">
        <v>5</v>
      </c>
      <c r="AQ144" t="s">
        <v>697</v>
      </c>
      <c r="AR144" t="s">
        <v>187</v>
      </c>
      <c r="AS144" t="s">
        <v>98</v>
      </c>
      <c r="AT144" t="s">
        <v>76</v>
      </c>
      <c r="AU144" t="s">
        <v>160</v>
      </c>
      <c r="AV144" t="s">
        <v>78</v>
      </c>
      <c r="AW144" t="s">
        <v>79</v>
      </c>
      <c r="AX144" t="str">
        <f t="shared" si="3"/>
        <v>Sinhgad Road</v>
      </c>
    </row>
    <row r="145" spans="1:50" x14ac:dyDescent="0.25">
      <c r="A145" t="s">
        <v>1264</v>
      </c>
      <c r="B145" t="s">
        <v>402</v>
      </c>
      <c r="C145" t="s">
        <v>1265</v>
      </c>
      <c r="D145" t="s">
        <v>52</v>
      </c>
      <c r="E145" t="s">
        <v>1266</v>
      </c>
      <c r="F145" t="s">
        <v>1267</v>
      </c>
      <c r="G145" t="s">
        <v>1268</v>
      </c>
      <c r="H145" t="s">
        <v>1394</v>
      </c>
      <c r="I145">
        <v>92</v>
      </c>
      <c r="J145" t="s">
        <v>1269</v>
      </c>
      <c r="K145" t="s">
        <v>294</v>
      </c>
      <c r="L145">
        <v>3</v>
      </c>
      <c r="M145" t="s">
        <v>60</v>
      </c>
      <c r="N145" t="s">
        <v>468</v>
      </c>
      <c r="O145" t="s">
        <v>145</v>
      </c>
      <c r="P145" t="s">
        <v>331</v>
      </c>
      <c r="Q145" t="s">
        <v>204</v>
      </c>
      <c r="R145" t="s">
        <v>140</v>
      </c>
      <c r="S145" t="s">
        <v>117</v>
      </c>
      <c r="T145" t="s">
        <v>273</v>
      </c>
      <c r="U145" t="s">
        <v>583</v>
      </c>
      <c r="V145" t="s">
        <v>449</v>
      </c>
      <c r="W145">
        <v>27814</v>
      </c>
      <c r="X145">
        <v>27770</v>
      </c>
      <c r="Y145">
        <v>44</v>
      </c>
      <c r="Z145">
        <v>83</v>
      </c>
      <c r="AA145" t="s">
        <v>70</v>
      </c>
      <c r="AC145" t="s">
        <v>71</v>
      </c>
      <c r="AD145" t="s">
        <v>72</v>
      </c>
      <c r="AE145">
        <v>3</v>
      </c>
      <c r="AF145">
        <v>78</v>
      </c>
      <c r="AG145">
        <v>84</v>
      </c>
      <c r="AH145" t="s">
        <v>234</v>
      </c>
      <c r="AI145">
        <v>63</v>
      </c>
      <c r="AJ145">
        <v>29</v>
      </c>
      <c r="AK145">
        <v>15</v>
      </c>
      <c r="AM145">
        <v>51</v>
      </c>
      <c r="AN145" t="s">
        <v>70</v>
      </c>
      <c r="AO145">
        <v>1</v>
      </c>
      <c r="AP145">
        <v>2</v>
      </c>
      <c r="AQ145" t="s">
        <v>275</v>
      </c>
      <c r="AR145" t="s">
        <v>567</v>
      </c>
      <c r="AS145" t="s">
        <v>98</v>
      </c>
      <c r="AT145" t="s">
        <v>125</v>
      </c>
      <c r="AU145" t="s">
        <v>160</v>
      </c>
      <c r="AV145" t="s">
        <v>147</v>
      </c>
      <c r="AX145" t="str">
        <f t="shared" si="3"/>
        <v>Sinhgad Road</v>
      </c>
    </row>
    <row r="146" spans="1:50" x14ac:dyDescent="0.25">
      <c r="A146" t="s">
        <v>1270</v>
      </c>
      <c r="B146" t="s">
        <v>222</v>
      </c>
      <c r="C146" t="s">
        <v>1271</v>
      </c>
      <c r="D146" t="s">
        <v>130</v>
      </c>
      <c r="E146" t="s">
        <v>1272</v>
      </c>
      <c r="F146" t="s">
        <v>1273</v>
      </c>
      <c r="G146" t="s">
        <v>1274</v>
      </c>
      <c r="H146" t="s">
        <v>1395</v>
      </c>
      <c r="I146">
        <v>87</v>
      </c>
      <c r="J146" t="s">
        <v>1275</v>
      </c>
      <c r="K146" t="s">
        <v>111</v>
      </c>
      <c r="L146">
        <v>6</v>
      </c>
      <c r="M146" t="s">
        <v>112</v>
      </c>
      <c r="N146" t="s">
        <v>321</v>
      </c>
      <c r="O146" t="s">
        <v>1276</v>
      </c>
      <c r="P146" t="s">
        <v>231</v>
      </c>
      <c r="Q146" t="s">
        <v>204</v>
      </c>
      <c r="R146" t="s">
        <v>140</v>
      </c>
      <c r="S146" t="s">
        <v>219</v>
      </c>
      <c r="T146" t="s">
        <v>67</v>
      </c>
      <c r="U146" t="s">
        <v>714</v>
      </c>
      <c r="V146" t="s">
        <v>714</v>
      </c>
      <c r="W146">
        <v>16750</v>
      </c>
      <c r="X146">
        <v>16073</v>
      </c>
      <c r="Y146">
        <v>677</v>
      </c>
      <c r="Z146">
        <v>1591</v>
      </c>
      <c r="AA146" t="s">
        <v>98</v>
      </c>
      <c r="AB146" t="s">
        <v>386</v>
      </c>
      <c r="AC146" t="s">
        <v>71</v>
      </c>
      <c r="AD146" t="s">
        <v>191</v>
      </c>
      <c r="AE146">
        <v>3</v>
      </c>
      <c r="AF146">
        <v>90</v>
      </c>
      <c r="AG146">
        <v>91</v>
      </c>
      <c r="AH146" t="s">
        <v>234</v>
      </c>
      <c r="AI146">
        <v>72</v>
      </c>
      <c r="AJ146">
        <v>54</v>
      </c>
      <c r="AK146">
        <v>15</v>
      </c>
      <c r="AL146" t="s">
        <v>97</v>
      </c>
      <c r="AM146">
        <v>27</v>
      </c>
      <c r="AN146" t="s">
        <v>70</v>
      </c>
      <c r="AO146">
        <v>1</v>
      </c>
      <c r="AP146">
        <v>4</v>
      </c>
      <c r="AQ146" t="s">
        <v>137</v>
      </c>
      <c r="AR146" t="s">
        <v>286</v>
      </c>
      <c r="AS146" t="s">
        <v>98</v>
      </c>
      <c r="AT146" t="s">
        <v>76</v>
      </c>
      <c r="AU146" t="s">
        <v>77</v>
      </c>
      <c r="AV146" t="s">
        <v>147</v>
      </c>
      <c r="AX146" t="str">
        <f t="shared" si="3"/>
        <v>Sinhgad Road</v>
      </c>
    </row>
    <row r="147" spans="1:50" x14ac:dyDescent="0.25">
      <c r="A147" t="s">
        <v>1277</v>
      </c>
      <c r="B147" t="s">
        <v>253</v>
      </c>
      <c r="C147" t="s">
        <v>1278</v>
      </c>
      <c r="D147" t="s">
        <v>52</v>
      </c>
      <c r="E147" t="s">
        <v>1279</v>
      </c>
      <c r="F147" t="s">
        <v>1280</v>
      </c>
      <c r="G147" t="s">
        <v>1281</v>
      </c>
      <c r="H147" t="s">
        <v>1395</v>
      </c>
      <c r="I147">
        <v>65</v>
      </c>
      <c r="J147" t="s">
        <v>1282</v>
      </c>
      <c r="K147" t="s">
        <v>59</v>
      </c>
      <c r="L147">
        <v>6</v>
      </c>
      <c r="M147" t="s">
        <v>60</v>
      </c>
      <c r="N147" t="s">
        <v>156</v>
      </c>
      <c r="O147" t="s">
        <v>1283</v>
      </c>
      <c r="P147" t="s">
        <v>139</v>
      </c>
      <c r="Q147" t="s">
        <v>116</v>
      </c>
      <c r="R147" t="s">
        <v>140</v>
      </c>
      <c r="S147" t="s">
        <v>219</v>
      </c>
      <c r="T147" t="s">
        <v>142</v>
      </c>
      <c r="U147" t="s">
        <v>416</v>
      </c>
      <c r="V147" t="s">
        <v>190</v>
      </c>
      <c r="W147">
        <v>42822</v>
      </c>
      <c r="X147">
        <v>42670</v>
      </c>
      <c r="Y147">
        <v>152</v>
      </c>
      <c r="Z147">
        <v>4368</v>
      </c>
      <c r="AA147" t="s">
        <v>98</v>
      </c>
      <c r="AB147" t="s">
        <v>1163</v>
      </c>
      <c r="AC147" t="s">
        <v>71</v>
      </c>
      <c r="AD147" t="s">
        <v>95</v>
      </c>
      <c r="AE147">
        <v>8</v>
      </c>
      <c r="AF147">
        <v>65</v>
      </c>
      <c r="AG147">
        <v>75</v>
      </c>
      <c r="AH147" t="s">
        <v>73</v>
      </c>
      <c r="AI147">
        <v>73</v>
      </c>
      <c r="AJ147">
        <v>22</v>
      </c>
      <c r="AK147">
        <v>15</v>
      </c>
      <c r="AL147" t="s">
        <v>122</v>
      </c>
      <c r="AM147">
        <v>68</v>
      </c>
      <c r="AN147" t="s">
        <v>98</v>
      </c>
      <c r="AO147">
        <v>1</v>
      </c>
      <c r="AP147">
        <v>3</v>
      </c>
      <c r="AQ147" t="s">
        <v>1284</v>
      </c>
      <c r="AR147" t="s">
        <v>695</v>
      </c>
      <c r="AS147" t="s">
        <v>70</v>
      </c>
      <c r="AT147" t="s">
        <v>177</v>
      </c>
      <c r="AU147" t="s">
        <v>126</v>
      </c>
      <c r="AV147" t="s">
        <v>147</v>
      </c>
      <c r="AX147" t="str">
        <f t="shared" si="3"/>
        <v>Sinhgad Road</v>
      </c>
    </row>
    <row r="148" spans="1:50" x14ac:dyDescent="0.25">
      <c r="A148" t="s">
        <v>1285</v>
      </c>
      <c r="B148" t="s">
        <v>1341</v>
      </c>
      <c r="C148" t="s">
        <v>1286</v>
      </c>
      <c r="D148" t="s">
        <v>130</v>
      </c>
      <c r="E148" t="s">
        <v>1287</v>
      </c>
      <c r="F148" t="s">
        <v>1288</v>
      </c>
      <c r="G148" t="s">
        <v>1289</v>
      </c>
      <c r="H148" t="s">
        <v>1395</v>
      </c>
      <c r="I148">
        <v>80</v>
      </c>
      <c r="J148" t="s">
        <v>1290</v>
      </c>
      <c r="K148" t="s">
        <v>111</v>
      </c>
      <c r="L148">
        <v>12</v>
      </c>
      <c r="M148" t="s">
        <v>60</v>
      </c>
      <c r="N148" t="s">
        <v>824</v>
      </c>
      <c r="O148" t="s">
        <v>867</v>
      </c>
      <c r="P148" t="s">
        <v>384</v>
      </c>
      <c r="Q148" t="s">
        <v>204</v>
      </c>
      <c r="R148" t="s">
        <v>140</v>
      </c>
      <c r="S148" t="s">
        <v>141</v>
      </c>
      <c r="T148" t="s">
        <v>142</v>
      </c>
      <c r="U148" t="s">
        <v>372</v>
      </c>
      <c r="V148" t="s">
        <v>332</v>
      </c>
      <c r="W148">
        <v>21068</v>
      </c>
      <c r="X148">
        <v>21002</v>
      </c>
      <c r="Y148">
        <v>66</v>
      </c>
      <c r="Z148">
        <v>121</v>
      </c>
      <c r="AA148" t="s">
        <v>70</v>
      </c>
      <c r="AC148" t="s">
        <v>71</v>
      </c>
      <c r="AD148" t="s">
        <v>121</v>
      </c>
      <c r="AE148">
        <v>8</v>
      </c>
      <c r="AF148">
        <v>63</v>
      </c>
      <c r="AG148">
        <v>66</v>
      </c>
      <c r="AH148" t="s">
        <v>234</v>
      </c>
      <c r="AI148">
        <v>85</v>
      </c>
      <c r="AJ148">
        <v>49</v>
      </c>
      <c r="AK148">
        <v>47</v>
      </c>
      <c r="AL148" t="s">
        <v>122</v>
      </c>
      <c r="AM148">
        <v>95</v>
      </c>
      <c r="AN148" t="s">
        <v>70</v>
      </c>
      <c r="AO148">
        <v>2</v>
      </c>
      <c r="AP148">
        <v>2</v>
      </c>
      <c r="AQ148" t="s">
        <v>341</v>
      </c>
      <c r="AR148" t="s">
        <v>416</v>
      </c>
      <c r="AS148" t="s">
        <v>98</v>
      </c>
      <c r="AT148" t="s">
        <v>287</v>
      </c>
      <c r="AU148" t="s">
        <v>77</v>
      </c>
      <c r="AV148" t="s">
        <v>147</v>
      </c>
      <c r="AX148" t="str">
        <f t="shared" si="3"/>
        <v>Sinhgad Road</v>
      </c>
    </row>
    <row r="149" spans="1:50" x14ac:dyDescent="0.25">
      <c r="A149" t="s">
        <v>1291</v>
      </c>
      <c r="B149" t="s">
        <v>1340</v>
      </c>
      <c r="C149" t="s">
        <v>745</v>
      </c>
      <c r="D149" t="s">
        <v>130</v>
      </c>
      <c r="E149" t="s">
        <v>1292</v>
      </c>
      <c r="F149" t="s">
        <v>1293</v>
      </c>
      <c r="G149" t="s">
        <v>1294</v>
      </c>
      <c r="H149" t="s">
        <v>57</v>
      </c>
      <c r="I149">
        <v>61</v>
      </c>
      <c r="J149" t="s">
        <v>1295</v>
      </c>
      <c r="K149" t="s">
        <v>169</v>
      </c>
      <c r="L149">
        <v>12</v>
      </c>
      <c r="M149" t="s">
        <v>112</v>
      </c>
      <c r="N149" t="s">
        <v>640</v>
      </c>
      <c r="O149" t="s">
        <v>657</v>
      </c>
      <c r="P149" t="s">
        <v>396</v>
      </c>
      <c r="Q149" t="s">
        <v>116</v>
      </c>
      <c r="R149" t="s">
        <v>140</v>
      </c>
      <c r="S149" t="s">
        <v>141</v>
      </c>
      <c r="T149" t="s">
        <v>67</v>
      </c>
      <c r="U149" t="s">
        <v>658</v>
      </c>
      <c r="V149" t="s">
        <v>658</v>
      </c>
      <c r="W149">
        <v>40078</v>
      </c>
      <c r="X149">
        <v>37767</v>
      </c>
      <c r="Y149">
        <v>2311</v>
      </c>
      <c r="Z149">
        <v>3511</v>
      </c>
      <c r="AA149" t="s">
        <v>98</v>
      </c>
      <c r="AB149" t="s">
        <v>1284</v>
      </c>
      <c r="AC149" t="s">
        <v>71</v>
      </c>
      <c r="AD149" t="s">
        <v>191</v>
      </c>
      <c r="AE149">
        <v>4</v>
      </c>
      <c r="AF149">
        <v>65</v>
      </c>
      <c r="AG149">
        <v>77</v>
      </c>
      <c r="AH149" t="s">
        <v>73</v>
      </c>
      <c r="AI149">
        <v>68</v>
      </c>
      <c r="AJ149">
        <v>34</v>
      </c>
      <c r="AK149">
        <v>18</v>
      </c>
      <c r="AM149">
        <v>52</v>
      </c>
      <c r="AN149" t="s">
        <v>70</v>
      </c>
      <c r="AO149">
        <v>4</v>
      </c>
      <c r="AP149">
        <v>4</v>
      </c>
      <c r="AQ149" t="s">
        <v>1119</v>
      </c>
      <c r="AR149" t="s">
        <v>833</v>
      </c>
      <c r="AS149" t="s">
        <v>98</v>
      </c>
      <c r="AT149" t="s">
        <v>177</v>
      </c>
      <c r="AU149" t="s">
        <v>126</v>
      </c>
      <c r="AV149" t="s">
        <v>78</v>
      </c>
      <c r="AW149" t="s">
        <v>102</v>
      </c>
      <c r="AX149" t="str">
        <f t="shared" si="3"/>
        <v>Sinhgad Road</v>
      </c>
    </row>
    <row r="150" spans="1:50" x14ac:dyDescent="0.25">
      <c r="A150" t="s">
        <v>1296</v>
      </c>
      <c r="B150" t="s">
        <v>278</v>
      </c>
      <c r="C150" t="s">
        <v>1297</v>
      </c>
      <c r="D150" t="s">
        <v>106</v>
      </c>
      <c r="E150" t="s">
        <v>1298</v>
      </c>
      <c r="F150" t="s">
        <v>1299</v>
      </c>
      <c r="G150" t="s">
        <v>1300</v>
      </c>
      <c r="H150" t="s">
        <v>87</v>
      </c>
      <c r="I150">
        <v>94</v>
      </c>
      <c r="J150" t="s">
        <v>1301</v>
      </c>
      <c r="K150" t="s">
        <v>242</v>
      </c>
      <c r="L150">
        <v>6</v>
      </c>
      <c r="M150" t="s">
        <v>112</v>
      </c>
      <c r="N150" t="s">
        <v>201</v>
      </c>
      <c r="O150" t="s">
        <v>1302</v>
      </c>
      <c r="P150" t="s">
        <v>550</v>
      </c>
      <c r="Q150" t="s">
        <v>116</v>
      </c>
      <c r="R150" t="s">
        <v>140</v>
      </c>
      <c r="S150" t="s">
        <v>117</v>
      </c>
      <c r="T150" t="s">
        <v>118</v>
      </c>
      <c r="U150" t="s">
        <v>706</v>
      </c>
      <c r="V150" t="s">
        <v>706</v>
      </c>
      <c r="W150">
        <v>42710</v>
      </c>
      <c r="X150">
        <v>42471</v>
      </c>
      <c r="Y150">
        <v>239</v>
      </c>
      <c r="Z150">
        <v>2937</v>
      </c>
      <c r="AA150" t="s">
        <v>70</v>
      </c>
      <c r="AC150" t="s">
        <v>71</v>
      </c>
      <c r="AD150" t="s">
        <v>191</v>
      </c>
      <c r="AE150">
        <v>8</v>
      </c>
      <c r="AF150">
        <v>55</v>
      </c>
      <c r="AG150">
        <v>88</v>
      </c>
      <c r="AH150" t="s">
        <v>73</v>
      </c>
      <c r="AI150">
        <v>82</v>
      </c>
      <c r="AJ150">
        <v>59</v>
      </c>
      <c r="AK150">
        <v>51</v>
      </c>
      <c r="AL150" t="s">
        <v>97</v>
      </c>
      <c r="AM150">
        <v>86</v>
      </c>
      <c r="AN150" t="s">
        <v>70</v>
      </c>
      <c r="AO150">
        <v>5</v>
      </c>
      <c r="AP150">
        <v>3</v>
      </c>
      <c r="AQ150" t="s">
        <v>351</v>
      </c>
      <c r="AR150" t="s">
        <v>74</v>
      </c>
      <c r="AS150" t="s">
        <v>98</v>
      </c>
      <c r="AT150" t="s">
        <v>101</v>
      </c>
      <c r="AU150" t="s">
        <v>160</v>
      </c>
      <c r="AV150" t="s">
        <v>147</v>
      </c>
      <c r="AX150" t="str">
        <f t="shared" si="3"/>
        <v>Sinhgad Road</v>
      </c>
    </row>
    <row r="151" spans="1:50" x14ac:dyDescent="0.25">
      <c r="A151" t="s">
        <v>1303</v>
      </c>
      <c r="B151" t="s">
        <v>973</v>
      </c>
      <c r="C151" t="s">
        <v>1304</v>
      </c>
      <c r="D151" t="s">
        <v>106</v>
      </c>
      <c r="E151" t="s">
        <v>1305</v>
      </c>
      <c r="F151" t="s">
        <v>1306</v>
      </c>
      <c r="G151" t="s">
        <v>1307</v>
      </c>
      <c r="H151" t="s">
        <v>1394</v>
      </c>
      <c r="I151">
        <v>95</v>
      </c>
      <c r="J151" t="s">
        <v>1308</v>
      </c>
      <c r="K151" t="s">
        <v>59</v>
      </c>
      <c r="L151">
        <v>6</v>
      </c>
      <c r="M151" t="s">
        <v>60</v>
      </c>
      <c r="N151" t="s">
        <v>305</v>
      </c>
      <c r="O151" t="s">
        <v>959</v>
      </c>
      <c r="P151" t="s">
        <v>524</v>
      </c>
      <c r="Q151" t="s">
        <v>116</v>
      </c>
      <c r="R151" t="s">
        <v>65</v>
      </c>
      <c r="S151" t="s">
        <v>141</v>
      </c>
      <c r="T151" t="s">
        <v>142</v>
      </c>
      <c r="U151" t="s">
        <v>1309</v>
      </c>
      <c r="V151" t="s">
        <v>395</v>
      </c>
      <c r="W151">
        <v>22520</v>
      </c>
      <c r="X151">
        <v>22365</v>
      </c>
      <c r="Y151">
        <v>155</v>
      </c>
      <c r="Z151">
        <v>574</v>
      </c>
      <c r="AA151" t="s">
        <v>70</v>
      </c>
      <c r="AC151" t="s">
        <v>71</v>
      </c>
      <c r="AD151" t="s">
        <v>191</v>
      </c>
      <c r="AE151">
        <v>3</v>
      </c>
      <c r="AF151">
        <v>49</v>
      </c>
      <c r="AG151">
        <v>77</v>
      </c>
      <c r="AH151" t="s">
        <v>234</v>
      </c>
      <c r="AI151">
        <v>79</v>
      </c>
      <c r="AJ151">
        <v>43</v>
      </c>
      <c r="AK151">
        <v>40</v>
      </c>
      <c r="AL151" t="s">
        <v>97</v>
      </c>
      <c r="AM151">
        <v>93</v>
      </c>
      <c r="AN151" t="s">
        <v>70</v>
      </c>
      <c r="AO151">
        <v>2</v>
      </c>
      <c r="AP151">
        <v>4</v>
      </c>
      <c r="AQ151" t="s">
        <v>209</v>
      </c>
      <c r="AR151" t="s">
        <v>440</v>
      </c>
      <c r="AS151" t="s">
        <v>98</v>
      </c>
      <c r="AT151" t="s">
        <v>76</v>
      </c>
      <c r="AU151" t="s">
        <v>77</v>
      </c>
      <c r="AV151" t="s">
        <v>78</v>
      </c>
      <c r="AW151" t="s">
        <v>79</v>
      </c>
      <c r="AX151" t="str">
        <f t="shared" si="3"/>
        <v>Sinhgad Road</v>
      </c>
    </row>
  </sheetData>
  <conditionalFormatting sqref="B4:B5 B7 B11 B15:B22 B24 B26 B28:B29 B31:B33 B36:B45 B48 B50:B51">
    <cfRule type="duplicateValues" dxfId="6" priority="4"/>
  </conditionalFormatting>
  <conditionalFormatting sqref="B2:B51">
    <cfRule type="duplicateValues" dxfId="5" priority="5"/>
  </conditionalFormatting>
  <conditionalFormatting sqref="AM2:AM5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52 B55:B56 B59:B61 B64 B70:B73 B75 B77:B78 B82:B83 B85:B86 B88:B101">
    <cfRule type="duplicateValues" dxfId="4" priority="2"/>
  </conditionalFormatting>
  <conditionalFormatting sqref="B102:B151">
    <cfRule type="duplicateValues" dxfId="3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CEE5F-4384-4CBE-848F-03819DB0B898}">
  <dimension ref="A1:F51"/>
  <sheetViews>
    <sheetView workbookViewId="0">
      <selection activeCell="B11" sqref="B11"/>
    </sheetView>
  </sheetViews>
  <sheetFormatPr defaultRowHeight="15" x14ac:dyDescent="0.25"/>
  <cols>
    <col min="1" max="1" width="14.7109375" bestFit="1" customWidth="1"/>
    <col min="2" max="2" width="48.85546875" bestFit="1" customWidth="1"/>
    <col min="3" max="3" width="16" bestFit="1" customWidth="1"/>
    <col min="4" max="4" width="14.5703125" bestFit="1" customWidth="1"/>
    <col min="5" max="5" width="17.85546875" bestFit="1" customWidth="1"/>
    <col min="6" max="6" width="19.140625" bestFit="1" customWidth="1"/>
  </cols>
  <sheetData>
    <row r="1" spans="1:6" x14ac:dyDescent="0.25">
      <c r="A1" t="s">
        <v>1311</v>
      </c>
      <c r="B1" s="2" t="s">
        <v>1312</v>
      </c>
      <c r="C1" t="s">
        <v>1316</v>
      </c>
      <c r="D1" t="s">
        <v>1315</v>
      </c>
      <c r="E1" t="s">
        <v>1314</v>
      </c>
      <c r="F1" t="s">
        <v>1317</v>
      </c>
    </row>
    <row r="2" spans="1:6" x14ac:dyDescent="0.25">
      <c r="A2" t="str">
        <f>IF(Aundh!I2&gt;85, "Excellent", IF(Aundh!I2&lt;5, "Good", "Average"))</f>
        <v>Average</v>
      </c>
      <c r="B2" t="str">
        <f>IF(Aundh!AV1="Left", "High", IF(Aundh!AP1&lt;=2, "Medium", "Low"))</f>
        <v>Low</v>
      </c>
      <c r="C2">
        <f t="shared" ref="C2:D21" ca="1" si="0">RANDBETWEEN(25,100)</f>
        <v>62</v>
      </c>
      <c r="D2">
        <f t="shared" ca="1" si="0"/>
        <v>60</v>
      </c>
      <c r="E2" t="str">
        <f t="shared" ref="E2:E33" ca="1" si="1">INT(((C2 - D2)/D2*100))&amp;"%"</f>
        <v>3%</v>
      </c>
      <c r="F2" t="str">
        <f ca="1">IF(TODAY() &gt; Aundh!AB2, "Overdue", "On Time")</f>
        <v>Overdue</v>
      </c>
    </row>
    <row r="3" spans="1:6" x14ac:dyDescent="0.25">
      <c r="A3" t="str">
        <f>IF(Aundh!I3&gt;85, "Excellent", IF(Aundh!I3&lt;5, "Good", "Average"))</f>
        <v>Excellent</v>
      </c>
      <c r="B3" t="str">
        <f>IF(Aundh!AV2="Left", "High", IF(Aundh!AP2&lt;=2, "Medium", "Low"))</f>
        <v>High</v>
      </c>
      <c r="C3">
        <f t="shared" ca="1" si="0"/>
        <v>61</v>
      </c>
      <c r="D3">
        <f t="shared" ca="1" si="0"/>
        <v>100</v>
      </c>
      <c r="E3" t="str">
        <f t="shared" ca="1" si="1"/>
        <v>-39%</v>
      </c>
      <c r="F3" t="str">
        <f ca="1">IF(TODAY() &gt; Aundh!AB3, "Overdue", "On Time")</f>
        <v>Overdue</v>
      </c>
    </row>
    <row r="4" spans="1:6" x14ac:dyDescent="0.25">
      <c r="A4" t="str">
        <f>IF(Aundh!I4&gt;85, "Excellent", IF(Aundh!I4&lt;5, "Good", "Average"))</f>
        <v>Average</v>
      </c>
      <c r="B4" t="str">
        <f>IF(Aundh!AV3="Left", "High", IF(Aundh!AP3&lt;=2, "Medium", "Low"))</f>
        <v>High</v>
      </c>
      <c r="C4">
        <f t="shared" ca="1" si="0"/>
        <v>93</v>
      </c>
      <c r="D4">
        <f t="shared" ca="1" si="0"/>
        <v>27</v>
      </c>
      <c r="E4" t="str">
        <f t="shared" ca="1" si="1"/>
        <v>244%</v>
      </c>
      <c r="F4" t="str">
        <f ca="1">IF(TODAY() &gt; Aundh!AB4, "Overdue", "On Time")</f>
        <v>Overdue</v>
      </c>
    </row>
    <row r="5" spans="1:6" x14ac:dyDescent="0.25">
      <c r="A5" t="str">
        <f>IF(Aundh!I5&gt;85, "Excellent", IF(Aundh!I5&lt;5, "Good", "Average"))</f>
        <v>Average</v>
      </c>
      <c r="B5" t="str">
        <f>IF(Aundh!AV4="Left", "High", IF(Aundh!AP4&lt;=2, "Medium", "Low"))</f>
        <v>High</v>
      </c>
      <c r="C5">
        <f t="shared" ca="1" si="0"/>
        <v>34</v>
      </c>
      <c r="D5">
        <f t="shared" ca="1" si="0"/>
        <v>43</v>
      </c>
      <c r="E5" t="str">
        <f t="shared" ca="1" si="1"/>
        <v>-21%</v>
      </c>
      <c r="F5" t="str">
        <f ca="1">IF(TODAY() &gt; Aundh!AB5, "Overdue", "On Time")</f>
        <v>Overdue</v>
      </c>
    </row>
    <row r="6" spans="1:6" x14ac:dyDescent="0.25">
      <c r="A6" t="str">
        <f>IF(Aundh!I6&gt;85, "Excellent", IF(Aundh!I6&lt;5, "Good", "Average"))</f>
        <v>Average</v>
      </c>
      <c r="B6" t="str">
        <f>IF(Aundh!AV5="Left", "High", IF(Aundh!AP5&lt;=2, "Medium", "Low"))</f>
        <v>High</v>
      </c>
      <c r="C6">
        <f t="shared" ca="1" si="0"/>
        <v>56</v>
      </c>
      <c r="D6">
        <f t="shared" ca="1" si="0"/>
        <v>52</v>
      </c>
      <c r="E6" t="str">
        <f t="shared" ca="1" si="1"/>
        <v>7%</v>
      </c>
      <c r="F6" t="str">
        <f ca="1">IF(TODAY() &gt; Aundh!AB6, "Overdue", "On Time")</f>
        <v>Overdue</v>
      </c>
    </row>
    <row r="7" spans="1:6" x14ac:dyDescent="0.25">
      <c r="A7" t="str">
        <f>IF(Aundh!I7&gt;85, "Excellent", IF(Aundh!I7&lt;5, "Good", "Average"))</f>
        <v>Average</v>
      </c>
      <c r="B7" t="str">
        <f>IF(Aundh!AV6="Left", "High", IF(Aundh!AP6&lt;=2, "Medium", "Low"))</f>
        <v>High</v>
      </c>
      <c r="C7">
        <f t="shared" ca="1" si="0"/>
        <v>87</v>
      </c>
      <c r="D7">
        <f t="shared" ca="1" si="0"/>
        <v>27</v>
      </c>
      <c r="E7" t="str">
        <f t="shared" ca="1" si="1"/>
        <v>222%</v>
      </c>
      <c r="F7" t="str">
        <f ca="1">IF(TODAY() &gt; Aundh!AB7, "Overdue", "On Time")</f>
        <v>Overdue</v>
      </c>
    </row>
    <row r="8" spans="1:6" x14ac:dyDescent="0.25">
      <c r="A8" t="str">
        <f>IF(Aundh!I8&gt;85, "Excellent", IF(Aundh!I8&lt;5, "Good", "Average"))</f>
        <v>Excellent</v>
      </c>
      <c r="B8" t="str">
        <f>IF(Aundh!AV7="Left", "High", IF(Aundh!AP7&lt;=2, "Medium", "Low"))</f>
        <v>High</v>
      </c>
      <c r="C8">
        <f t="shared" ca="1" si="0"/>
        <v>71</v>
      </c>
      <c r="D8">
        <f t="shared" ca="1" si="0"/>
        <v>88</v>
      </c>
      <c r="E8" t="str">
        <f t="shared" ca="1" si="1"/>
        <v>-20%</v>
      </c>
      <c r="F8" t="str">
        <f ca="1">IF(TODAY() &gt; Aundh!AB8, "Overdue", "On Time")</f>
        <v>Overdue</v>
      </c>
    </row>
    <row r="9" spans="1:6" x14ac:dyDescent="0.25">
      <c r="A9" t="str">
        <f>IF(Aundh!I9&gt;85, "Excellent", IF(Aundh!I9&lt;5, "Good", "Average"))</f>
        <v>Average</v>
      </c>
      <c r="B9" t="str">
        <f>IF(Aundh!AV8="Left", "High", IF(Aundh!AP8&lt;=2, "Medium", "Low"))</f>
        <v>Low</v>
      </c>
      <c r="C9">
        <f t="shared" ca="1" si="0"/>
        <v>61</v>
      </c>
      <c r="D9">
        <f t="shared" ca="1" si="0"/>
        <v>93</v>
      </c>
      <c r="E9" t="str">
        <f t="shared" ca="1" si="1"/>
        <v>-35%</v>
      </c>
      <c r="F9" t="str">
        <f ca="1">IF(TODAY() &gt; Aundh!AB9, "Overdue", "On Time")</f>
        <v>Overdue</v>
      </c>
    </row>
    <row r="10" spans="1:6" x14ac:dyDescent="0.25">
      <c r="A10" t="str">
        <f>IF(Aundh!I10&gt;85, "Excellent", IF(Aundh!I10&lt;5, "Good", "Average"))</f>
        <v>Average</v>
      </c>
      <c r="B10" t="str">
        <f>IF(Aundh!AV9="Left", "High", IF(Aundh!AP9&lt;=2, "Medium", "Low"))</f>
        <v>Medium</v>
      </c>
      <c r="C10">
        <f t="shared" ca="1" si="0"/>
        <v>53</v>
      </c>
      <c r="D10">
        <f t="shared" ca="1" si="0"/>
        <v>53</v>
      </c>
      <c r="E10" t="str">
        <f t="shared" ca="1" si="1"/>
        <v>0%</v>
      </c>
      <c r="F10" t="str">
        <f ca="1">IF(TODAY() &gt; Aundh!AB10, "Overdue", "On Time")</f>
        <v>Overdue</v>
      </c>
    </row>
    <row r="11" spans="1:6" x14ac:dyDescent="0.25">
      <c r="A11" t="str">
        <f>IF(Aundh!I11&gt;85, "Excellent", IF(Aundh!I11&lt;5, "Good", "Average"))</f>
        <v>Average</v>
      </c>
      <c r="B11" t="str">
        <f>IF(Aundh!AV10="Left", "High", IF(Aundh!AP10&lt;=2, "Medium", "Low"))</f>
        <v>High</v>
      </c>
      <c r="C11">
        <f t="shared" ca="1" si="0"/>
        <v>78</v>
      </c>
      <c r="D11">
        <f t="shared" ca="1" si="0"/>
        <v>65</v>
      </c>
      <c r="E11" t="str">
        <f t="shared" ca="1" si="1"/>
        <v>20%</v>
      </c>
      <c r="F11" t="str">
        <f ca="1">IF(TODAY() &gt; Aundh!AB11, "Overdue", "On Time")</f>
        <v>Overdue</v>
      </c>
    </row>
    <row r="12" spans="1:6" x14ac:dyDescent="0.25">
      <c r="A12" t="str">
        <f>IF(Aundh!I12&gt;85, "Excellent", IF(Aundh!I12&lt;5, "Good", "Average"))</f>
        <v>Average</v>
      </c>
      <c r="B12" t="str">
        <f>IF(Aundh!AV11="Left", "High", IF(Aundh!AP11&lt;=2, "Medium", "Low"))</f>
        <v>High</v>
      </c>
      <c r="C12">
        <f t="shared" ca="1" si="0"/>
        <v>77</v>
      </c>
      <c r="D12">
        <f t="shared" ca="1" si="0"/>
        <v>66</v>
      </c>
      <c r="E12" t="str">
        <f t="shared" ca="1" si="1"/>
        <v>16%</v>
      </c>
      <c r="F12" t="str">
        <f ca="1">IF(TODAY() &gt; Aundh!AB12, "Overdue", "On Time")</f>
        <v>Overdue</v>
      </c>
    </row>
    <row r="13" spans="1:6" x14ac:dyDescent="0.25">
      <c r="A13" t="str">
        <f>IF(Aundh!I13&gt;85, "Excellent", IF(Aundh!I13&lt;5, "Good", "Average"))</f>
        <v>Average</v>
      </c>
      <c r="B13" t="str">
        <f>IF(Aundh!AV12="Left", "High", IF(Aundh!AP12&lt;=2, "Medium", "Low"))</f>
        <v>High</v>
      </c>
      <c r="C13">
        <f t="shared" ca="1" si="0"/>
        <v>25</v>
      </c>
      <c r="D13">
        <f t="shared" ca="1" si="0"/>
        <v>47</v>
      </c>
      <c r="E13" t="str">
        <f t="shared" ca="1" si="1"/>
        <v>-47%</v>
      </c>
      <c r="F13" t="str">
        <f ca="1">IF(TODAY() &gt; Aundh!AB13, "Overdue", "On Time")</f>
        <v>Overdue</v>
      </c>
    </row>
    <row r="14" spans="1:6" x14ac:dyDescent="0.25">
      <c r="A14" t="str">
        <f>IF(Aundh!I14&gt;85, "Excellent", IF(Aundh!I14&lt;5, "Good", "Average"))</f>
        <v>Excellent</v>
      </c>
      <c r="B14" t="str">
        <f>IF(Aundh!AV13="Left", "High", IF(Aundh!AP13&lt;=2, "Medium", "Low"))</f>
        <v>High</v>
      </c>
      <c r="C14">
        <f t="shared" ca="1" si="0"/>
        <v>56</v>
      </c>
      <c r="D14">
        <f t="shared" ca="1" si="0"/>
        <v>72</v>
      </c>
      <c r="E14" t="str">
        <f t="shared" ca="1" si="1"/>
        <v>-23%</v>
      </c>
      <c r="F14" t="str">
        <f ca="1">IF(TODAY() &gt; Aundh!AB14, "Overdue", "On Time")</f>
        <v>Overdue</v>
      </c>
    </row>
    <row r="15" spans="1:6" x14ac:dyDescent="0.25">
      <c r="A15" t="str">
        <f>IF(Aundh!I15&gt;85, "Excellent", IF(Aundh!I15&lt;5, "Good", "Average"))</f>
        <v>Average</v>
      </c>
      <c r="B15" t="str">
        <f>IF(Aundh!AV14="Left", "High", IF(Aundh!AP14&lt;=2, "Medium", "Low"))</f>
        <v>High</v>
      </c>
      <c r="C15">
        <f t="shared" ca="1" si="0"/>
        <v>46</v>
      </c>
      <c r="D15">
        <f t="shared" ca="1" si="0"/>
        <v>88</v>
      </c>
      <c r="E15" t="str">
        <f t="shared" ca="1" si="1"/>
        <v>-48%</v>
      </c>
      <c r="F15" t="str">
        <f ca="1">IF(TODAY() &gt; Aundh!AB15, "Overdue", "On Time")</f>
        <v>Overdue</v>
      </c>
    </row>
    <row r="16" spans="1:6" x14ac:dyDescent="0.25">
      <c r="A16" t="str">
        <f>IF(Aundh!I16&gt;85, "Excellent", IF(Aundh!I16&lt;5, "Good", "Average"))</f>
        <v>Excellent</v>
      </c>
      <c r="B16" t="str">
        <f>IF(Aundh!AV15="Left", "High", IF(Aundh!AP15&lt;=2, "Medium", "Low"))</f>
        <v>High</v>
      </c>
      <c r="C16">
        <f t="shared" ca="1" si="0"/>
        <v>66</v>
      </c>
      <c r="D16">
        <f t="shared" ca="1" si="0"/>
        <v>81</v>
      </c>
      <c r="E16" t="str">
        <f t="shared" ca="1" si="1"/>
        <v>-19%</v>
      </c>
      <c r="F16" t="str">
        <f ca="1">IF(TODAY() &gt; Aundh!AB16, "Overdue", "On Time")</f>
        <v>Overdue</v>
      </c>
    </row>
    <row r="17" spans="1:6" x14ac:dyDescent="0.25">
      <c r="A17" t="str">
        <f>IF(Aundh!I17&gt;85, "Excellent", IF(Aundh!I17&lt;5, "Good", "Average"))</f>
        <v>Excellent</v>
      </c>
      <c r="B17" t="str">
        <f>IF(Aundh!AV16="Left", "High", IF(Aundh!AP16&lt;=2, "Medium", "Low"))</f>
        <v>Medium</v>
      </c>
      <c r="C17">
        <f t="shared" ca="1" si="0"/>
        <v>85</v>
      </c>
      <c r="D17">
        <f t="shared" ca="1" si="0"/>
        <v>90</v>
      </c>
      <c r="E17" t="str">
        <f t="shared" ca="1" si="1"/>
        <v>-6%</v>
      </c>
      <c r="F17" t="str">
        <f ca="1">IF(TODAY() &gt; Aundh!AB17, "Overdue", "On Time")</f>
        <v>Overdue</v>
      </c>
    </row>
    <row r="18" spans="1:6" x14ac:dyDescent="0.25">
      <c r="A18" t="str">
        <f>IF(Aundh!I18&gt;85, "Excellent", IF(Aundh!I18&lt;5, "Good", "Average"))</f>
        <v>Average</v>
      </c>
      <c r="B18" t="str">
        <f>IF(Aundh!AV17="Left", "High", IF(Aundh!AP17&lt;=2, "Medium", "Low"))</f>
        <v>High</v>
      </c>
      <c r="C18">
        <f t="shared" ca="1" si="0"/>
        <v>47</v>
      </c>
      <c r="D18">
        <f t="shared" ca="1" si="0"/>
        <v>41</v>
      </c>
      <c r="E18" t="str">
        <f t="shared" ca="1" si="1"/>
        <v>14%</v>
      </c>
      <c r="F18" t="str">
        <f ca="1">IF(TODAY() &gt; Aundh!AB18, "Overdue", "On Time")</f>
        <v>Overdue</v>
      </c>
    </row>
    <row r="19" spans="1:6" x14ac:dyDescent="0.25">
      <c r="A19" t="str">
        <f>IF(Aundh!I19&gt;85, "Excellent", IF(Aundh!I19&lt;5, "Good", "Average"))</f>
        <v>Average</v>
      </c>
      <c r="B19" t="str">
        <f>IF(Aundh!AV18="Left", "High", IF(Aundh!AP18&lt;=2, "Medium", "Low"))</f>
        <v>High</v>
      </c>
      <c r="C19">
        <f t="shared" ca="1" si="0"/>
        <v>95</v>
      </c>
      <c r="D19">
        <f t="shared" ca="1" si="0"/>
        <v>54</v>
      </c>
      <c r="E19" t="str">
        <f t="shared" ca="1" si="1"/>
        <v>75%</v>
      </c>
      <c r="F19" t="str">
        <f ca="1">IF(TODAY() &gt; Aundh!AB19, "Overdue", "On Time")</f>
        <v>Overdue</v>
      </c>
    </row>
    <row r="20" spans="1:6" x14ac:dyDescent="0.25">
      <c r="A20" t="str">
        <f>IF(Aundh!I20&gt;85, "Excellent", IF(Aundh!I20&lt;5, "Good", "Average"))</f>
        <v>Average</v>
      </c>
      <c r="B20" t="str">
        <f>IF(Aundh!AV19="Left", "High", IF(Aundh!AP19&lt;=2, "Medium", "Low"))</f>
        <v>Low</v>
      </c>
      <c r="C20">
        <f t="shared" ca="1" si="0"/>
        <v>32</v>
      </c>
      <c r="D20">
        <f t="shared" ca="1" si="0"/>
        <v>28</v>
      </c>
      <c r="E20" t="str">
        <f t="shared" ca="1" si="1"/>
        <v>14%</v>
      </c>
      <c r="F20" t="str">
        <f ca="1">IF(TODAY() &gt; Aundh!AB20, "Overdue", "On Time")</f>
        <v>Overdue</v>
      </c>
    </row>
    <row r="21" spans="1:6" x14ac:dyDescent="0.25">
      <c r="A21" t="str">
        <f>IF(Aundh!I21&gt;85, "Excellent", IF(Aundh!I21&lt;5, "Good", "Average"))</f>
        <v>Average</v>
      </c>
      <c r="B21" t="str">
        <f>IF(Aundh!AV20="Left", "High", IF(Aundh!AP20&lt;=2, "Medium", "Low"))</f>
        <v>Low</v>
      </c>
      <c r="C21">
        <f t="shared" ca="1" si="0"/>
        <v>30</v>
      </c>
      <c r="D21">
        <f t="shared" ca="1" si="0"/>
        <v>99</v>
      </c>
      <c r="E21" t="str">
        <f t="shared" ca="1" si="1"/>
        <v>-70%</v>
      </c>
      <c r="F21" t="str">
        <f ca="1">IF(TODAY() &gt; Aundh!AB21, "Overdue", "On Time")</f>
        <v>Overdue</v>
      </c>
    </row>
    <row r="22" spans="1:6" x14ac:dyDescent="0.25">
      <c r="A22" t="str">
        <f>IF(Aundh!I22&gt;85, "Excellent", IF(Aundh!I22&lt;5, "Good", "Average"))</f>
        <v>Excellent</v>
      </c>
      <c r="B22" t="str">
        <f>IF(Aundh!AV21="Left", "High", IF(Aundh!AP21&lt;=2, "Medium", "Low"))</f>
        <v>High</v>
      </c>
      <c r="C22">
        <f t="shared" ref="C22:D41" ca="1" si="2">RANDBETWEEN(25,100)</f>
        <v>40</v>
      </c>
      <c r="D22">
        <f t="shared" ca="1" si="2"/>
        <v>58</v>
      </c>
      <c r="E22" t="str">
        <f t="shared" ca="1" si="1"/>
        <v>-32%</v>
      </c>
      <c r="F22" t="str">
        <f ca="1">IF(TODAY() &gt; Aundh!AB22, "Overdue", "On Time")</f>
        <v>Overdue</v>
      </c>
    </row>
    <row r="23" spans="1:6" x14ac:dyDescent="0.25">
      <c r="A23" t="str">
        <f>IF(Aundh!I23&gt;85, "Excellent", IF(Aundh!I23&lt;5, "Good", "Average"))</f>
        <v>Average</v>
      </c>
      <c r="B23" t="str">
        <f>IF(Aundh!AV22="Left", "High", IF(Aundh!AP22&lt;=2, "Medium", "Low"))</f>
        <v>Low</v>
      </c>
      <c r="C23">
        <f t="shared" ca="1" si="2"/>
        <v>83</v>
      </c>
      <c r="D23">
        <f t="shared" ca="1" si="2"/>
        <v>58</v>
      </c>
      <c r="E23" t="str">
        <f t="shared" ca="1" si="1"/>
        <v>43%</v>
      </c>
      <c r="F23" t="str">
        <f ca="1">IF(TODAY() &gt; Aundh!AB23, "Overdue", "On Time")</f>
        <v>Overdue</v>
      </c>
    </row>
    <row r="24" spans="1:6" x14ac:dyDescent="0.25">
      <c r="A24" t="str">
        <f>IF(Aundh!I24&gt;85, "Excellent", IF(Aundh!I24&lt;5, "Good", "Average"))</f>
        <v>Excellent</v>
      </c>
      <c r="B24" t="str">
        <f>IF(Aundh!AV23="Left", "High", IF(Aundh!AP23&lt;=2, "Medium", "Low"))</f>
        <v>High</v>
      </c>
      <c r="C24">
        <f t="shared" ca="1" si="2"/>
        <v>91</v>
      </c>
      <c r="D24">
        <f t="shared" ca="1" si="2"/>
        <v>100</v>
      </c>
      <c r="E24" t="str">
        <f t="shared" ca="1" si="1"/>
        <v>-9%</v>
      </c>
      <c r="F24" t="str">
        <f ca="1">IF(TODAY() &gt; Aundh!AB24, "Overdue", "On Time")</f>
        <v>Overdue</v>
      </c>
    </row>
    <row r="25" spans="1:6" x14ac:dyDescent="0.25">
      <c r="A25" t="str">
        <f>IF(Aundh!I25&gt;85, "Excellent", IF(Aundh!I25&lt;5, "Good", "Average"))</f>
        <v>Average</v>
      </c>
      <c r="B25" t="str">
        <f>IF(Aundh!AV24="Left", "High", IF(Aundh!AP24&lt;=2, "Medium", "Low"))</f>
        <v>High</v>
      </c>
      <c r="C25">
        <f t="shared" ca="1" si="2"/>
        <v>79</v>
      </c>
      <c r="D25">
        <f t="shared" ca="1" si="2"/>
        <v>29</v>
      </c>
      <c r="E25" t="str">
        <f t="shared" ca="1" si="1"/>
        <v>172%</v>
      </c>
      <c r="F25" t="str">
        <f ca="1">IF(TODAY() &gt; Aundh!AB25, "Overdue", "On Time")</f>
        <v>Overdue</v>
      </c>
    </row>
    <row r="26" spans="1:6" x14ac:dyDescent="0.25">
      <c r="A26" t="str">
        <f>IF(Aundh!I26&gt;85, "Excellent", IF(Aundh!I26&lt;5, "Good", "Average"))</f>
        <v>Excellent</v>
      </c>
      <c r="B26" t="str">
        <f>IF(Aundh!AV25="Left", "High", IF(Aundh!AP25&lt;=2, "Medium", "Low"))</f>
        <v>Low</v>
      </c>
      <c r="C26">
        <f t="shared" ca="1" si="2"/>
        <v>73</v>
      </c>
      <c r="D26">
        <f t="shared" ca="1" si="2"/>
        <v>33</v>
      </c>
      <c r="E26" t="str">
        <f t="shared" ca="1" si="1"/>
        <v>121%</v>
      </c>
      <c r="F26" t="str">
        <f ca="1">IF(TODAY() &gt; Aundh!AB26, "Overdue", "On Time")</f>
        <v>Overdue</v>
      </c>
    </row>
    <row r="27" spans="1:6" x14ac:dyDescent="0.25">
      <c r="A27" t="str">
        <f>IF(Aundh!I27&gt;85, "Excellent", IF(Aundh!I27&lt;5, "Good", "Average"))</f>
        <v>Average</v>
      </c>
      <c r="B27" t="str">
        <f>IF(Aundh!AV26="Left", "High", IF(Aundh!AP26&lt;=2, "Medium", "Low"))</f>
        <v>Low</v>
      </c>
      <c r="C27">
        <f t="shared" ca="1" si="2"/>
        <v>66</v>
      </c>
      <c r="D27">
        <f t="shared" ca="1" si="2"/>
        <v>28</v>
      </c>
      <c r="E27" t="str">
        <f t="shared" ca="1" si="1"/>
        <v>135%</v>
      </c>
      <c r="F27" t="str">
        <f ca="1">IF(TODAY() &gt; Aundh!AB27, "Overdue", "On Time")</f>
        <v>Overdue</v>
      </c>
    </row>
    <row r="28" spans="1:6" x14ac:dyDescent="0.25">
      <c r="A28" t="str">
        <f>IF(Aundh!I28&gt;85, "Excellent", IF(Aundh!I28&lt;5, "Good", "Average"))</f>
        <v>Average</v>
      </c>
      <c r="B28" t="str">
        <f>IF(Aundh!AV27="Left", "High", IF(Aundh!AP27&lt;=2, "Medium", "Low"))</f>
        <v>Low</v>
      </c>
      <c r="C28">
        <f t="shared" ca="1" si="2"/>
        <v>69</v>
      </c>
      <c r="D28">
        <f t="shared" ca="1" si="2"/>
        <v>30</v>
      </c>
      <c r="E28" t="str">
        <f t="shared" ca="1" si="1"/>
        <v>130%</v>
      </c>
      <c r="F28" t="str">
        <f ca="1">IF(TODAY() &gt; Aundh!AB28, "Overdue", "On Time")</f>
        <v>Overdue</v>
      </c>
    </row>
    <row r="29" spans="1:6" x14ac:dyDescent="0.25">
      <c r="A29" t="str">
        <f>IF(Aundh!I29&gt;85, "Excellent", IF(Aundh!I29&lt;5, "Good", "Average"))</f>
        <v>Excellent</v>
      </c>
      <c r="B29" t="str">
        <f>IF(Aundh!AV28="Left", "High", IF(Aundh!AP28&lt;=2, "Medium", "Low"))</f>
        <v>High</v>
      </c>
      <c r="C29">
        <f t="shared" ca="1" si="2"/>
        <v>93</v>
      </c>
      <c r="D29">
        <f t="shared" ca="1" si="2"/>
        <v>46</v>
      </c>
      <c r="E29" t="str">
        <f t="shared" ca="1" si="1"/>
        <v>102%</v>
      </c>
      <c r="F29" t="str">
        <f ca="1">IF(TODAY() &gt; Aundh!AB29, "Overdue", "On Time")</f>
        <v>Overdue</v>
      </c>
    </row>
    <row r="30" spans="1:6" x14ac:dyDescent="0.25">
      <c r="A30" t="str">
        <f>IF(Aundh!I30&gt;85, "Excellent", IF(Aundh!I30&lt;5, "Good", "Average"))</f>
        <v>Average</v>
      </c>
      <c r="B30" t="str">
        <f>IF(Aundh!AV29="Left", "High", IF(Aundh!AP29&lt;=2, "Medium", "Low"))</f>
        <v>Medium</v>
      </c>
      <c r="C30">
        <f t="shared" ca="1" si="2"/>
        <v>63</v>
      </c>
      <c r="D30">
        <f t="shared" ca="1" si="2"/>
        <v>58</v>
      </c>
      <c r="E30" t="str">
        <f t="shared" ca="1" si="1"/>
        <v>8%</v>
      </c>
      <c r="F30" t="str">
        <f ca="1">IF(TODAY() &gt; Aundh!AB30, "Overdue", "On Time")</f>
        <v>Overdue</v>
      </c>
    </row>
    <row r="31" spans="1:6" x14ac:dyDescent="0.25">
      <c r="A31" t="str">
        <f>IF(Aundh!I31&gt;85, "Excellent", IF(Aundh!I31&lt;5, "Good", "Average"))</f>
        <v>Average</v>
      </c>
      <c r="B31" t="str">
        <f>IF(Aundh!AV30="Left", "High", IF(Aundh!AP30&lt;=2, "Medium", "Low"))</f>
        <v>High</v>
      </c>
      <c r="C31">
        <f t="shared" ca="1" si="2"/>
        <v>92</v>
      </c>
      <c r="D31">
        <f t="shared" ca="1" si="2"/>
        <v>87</v>
      </c>
      <c r="E31" t="str">
        <f t="shared" ca="1" si="1"/>
        <v>5%</v>
      </c>
      <c r="F31" t="str">
        <f ca="1">IF(TODAY() &gt; Aundh!AB31, "Overdue", "On Time")</f>
        <v>Overdue</v>
      </c>
    </row>
    <row r="32" spans="1:6" x14ac:dyDescent="0.25">
      <c r="A32" t="str">
        <f>IF(Aundh!I32&gt;85, "Excellent", IF(Aundh!I32&lt;5, "Good", "Average"))</f>
        <v>Average</v>
      </c>
      <c r="B32" t="str">
        <f>IF(Aundh!AV31="Left", "High", IF(Aundh!AP31&lt;=2, "Medium", "Low"))</f>
        <v>High</v>
      </c>
      <c r="C32">
        <f t="shared" ca="1" si="2"/>
        <v>89</v>
      </c>
      <c r="D32">
        <f t="shared" ca="1" si="2"/>
        <v>93</v>
      </c>
      <c r="E32" t="str">
        <f t="shared" ca="1" si="1"/>
        <v>-5%</v>
      </c>
      <c r="F32" t="str">
        <f ca="1">IF(TODAY() &gt; Aundh!AB32, "Overdue", "On Time")</f>
        <v>Overdue</v>
      </c>
    </row>
    <row r="33" spans="1:6" x14ac:dyDescent="0.25">
      <c r="A33" t="str">
        <f>IF(Aundh!I33&gt;85, "Excellent", IF(Aundh!I33&lt;5, "Good", "Average"))</f>
        <v>Average</v>
      </c>
      <c r="B33" t="str">
        <f>IF(Aundh!AV32="Left", "High", IF(Aundh!AP32&lt;=2, "Medium", "Low"))</f>
        <v>High</v>
      </c>
      <c r="C33">
        <f t="shared" ca="1" si="2"/>
        <v>82</v>
      </c>
      <c r="D33">
        <f t="shared" ca="1" si="2"/>
        <v>73</v>
      </c>
      <c r="E33" t="str">
        <f t="shared" ca="1" si="1"/>
        <v>12%</v>
      </c>
      <c r="F33" t="str">
        <f ca="1">IF(TODAY() &gt; Aundh!AB33, "Overdue", "On Time")</f>
        <v>Overdue</v>
      </c>
    </row>
    <row r="34" spans="1:6" x14ac:dyDescent="0.25">
      <c r="A34" t="str">
        <f>IF(Aundh!I34&gt;85, "Excellent", IF(Aundh!I34&lt;5, "Good", "Average"))</f>
        <v>Average</v>
      </c>
      <c r="B34" t="str">
        <f>IF(Aundh!AV33="Left", "High", IF(Aundh!AP33&lt;=2, "Medium", "Low"))</f>
        <v>High</v>
      </c>
      <c r="C34">
        <f t="shared" ca="1" si="2"/>
        <v>59</v>
      </c>
      <c r="D34">
        <f t="shared" ca="1" si="2"/>
        <v>33</v>
      </c>
      <c r="E34" t="str">
        <f t="shared" ref="E34:E65" ca="1" si="3">INT(((C34 - D34)/D34*100))&amp;"%"</f>
        <v>78%</v>
      </c>
      <c r="F34" t="str">
        <f ca="1">IF(TODAY() &gt; Aundh!AB34, "Overdue", "On Time")</f>
        <v>Overdue</v>
      </c>
    </row>
    <row r="35" spans="1:6" x14ac:dyDescent="0.25">
      <c r="A35" t="str">
        <f>IF(Aundh!I35&gt;85, "Excellent", IF(Aundh!I35&lt;5, "Good", "Average"))</f>
        <v>Average</v>
      </c>
      <c r="B35" t="str">
        <f>IF(Aundh!AV34="Left", "High", IF(Aundh!AP34&lt;=2, "Medium", "Low"))</f>
        <v>High</v>
      </c>
      <c r="C35">
        <f t="shared" ca="1" si="2"/>
        <v>81</v>
      </c>
      <c r="D35">
        <f t="shared" ca="1" si="2"/>
        <v>86</v>
      </c>
      <c r="E35" t="str">
        <f t="shared" ca="1" si="3"/>
        <v>-6%</v>
      </c>
      <c r="F35" t="str">
        <f ca="1">IF(TODAY() &gt; Aundh!AB35, "Overdue", "On Time")</f>
        <v>Overdue</v>
      </c>
    </row>
    <row r="36" spans="1:6" x14ac:dyDescent="0.25">
      <c r="A36" t="str">
        <f>IF(Aundh!I36&gt;85, "Excellent", IF(Aundh!I36&lt;5, "Good", "Average"))</f>
        <v>Average</v>
      </c>
      <c r="B36" t="str">
        <f>IF(Aundh!AV35="Left", "High", IF(Aundh!AP35&lt;=2, "Medium", "Low"))</f>
        <v>High</v>
      </c>
      <c r="C36">
        <f t="shared" ca="1" si="2"/>
        <v>75</v>
      </c>
      <c r="D36">
        <f t="shared" ca="1" si="2"/>
        <v>80</v>
      </c>
      <c r="E36" t="str">
        <f t="shared" ca="1" si="3"/>
        <v>-7%</v>
      </c>
      <c r="F36" t="str">
        <f ca="1">IF(TODAY() &gt; Aundh!AB36, "Overdue", "On Time")</f>
        <v>Overdue</v>
      </c>
    </row>
    <row r="37" spans="1:6" x14ac:dyDescent="0.25">
      <c r="A37" t="str">
        <f>IF(Aundh!I37&gt;85, "Excellent", IF(Aundh!I37&lt;5, "Good", "Average"))</f>
        <v>Average</v>
      </c>
      <c r="B37" t="str">
        <f>IF(Aundh!AV36="Left", "High", IF(Aundh!AP36&lt;=2, "Medium", "Low"))</f>
        <v>Medium</v>
      </c>
      <c r="C37">
        <f t="shared" ca="1" si="2"/>
        <v>61</v>
      </c>
      <c r="D37">
        <f t="shared" ca="1" si="2"/>
        <v>82</v>
      </c>
      <c r="E37" t="str">
        <f t="shared" ca="1" si="3"/>
        <v>-26%</v>
      </c>
      <c r="F37" t="str">
        <f ca="1">IF(TODAY() &gt; Aundh!AB37, "Overdue", "On Time")</f>
        <v>Overdue</v>
      </c>
    </row>
    <row r="38" spans="1:6" x14ac:dyDescent="0.25">
      <c r="A38" t="str">
        <f>IF(Aundh!I38&gt;85, "Excellent", IF(Aundh!I38&lt;5, "Good", "Average"))</f>
        <v>Average</v>
      </c>
      <c r="B38" t="str">
        <f>IF(Aundh!AV37="Left", "High", IF(Aundh!AP37&lt;=2, "Medium", "Low"))</f>
        <v>Medium</v>
      </c>
      <c r="C38">
        <f t="shared" ca="1" si="2"/>
        <v>53</v>
      </c>
      <c r="D38">
        <f t="shared" ca="1" si="2"/>
        <v>63</v>
      </c>
      <c r="E38" t="str">
        <f t="shared" ca="1" si="3"/>
        <v>-16%</v>
      </c>
      <c r="F38" t="str">
        <f ca="1">IF(TODAY() &gt; Aundh!AB38, "Overdue", "On Time")</f>
        <v>Overdue</v>
      </c>
    </row>
    <row r="39" spans="1:6" x14ac:dyDescent="0.25">
      <c r="A39" t="str">
        <f>IF(Aundh!I39&gt;85, "Excellent", IF(Aundh!I39&lt;5, "Good", "Average"))</f>
        <v>Average</v>
      </c>
      <c r="B39" t="str">
        <f>IF(Aundh!AV38="Left", "High", IF(Aundh!AP38&lt;=2, "Medium", "Low"))</f>
        <v>High</v>
      </c>
      <c r="C39">
        <f t="shared" ca="1" si="2"/>
        <v>93</v>
      </c>
      <c r="D39">
        <f t="shared" ca="1" si="2"/>
        <v>71</v>
      </c>
      <c r="E39" t="str">
        <f t="shared" ca="1" si="3"/>
        <v>30%</v>
      </c>
      <c r="F39" t="str">
        <f ca="1">IF(TODAY() &gt; Aundh!AB39, "Overdue", "On Time")</f>
        <v>Overdue</v>
      </c>
    </row>
    <row r="40" spans="1:6" x14ac:dyDescent="0.25">
      <c r="A40" t="str">
        <f>IF(Aundh!I40&gt;85, "Excellent", IF(Aundh!I40&lt;5, "Good", "Average"))</f>
        <v>Average</v>
      </c>
      <c r="B40" t="str">
        <f>IF(Aundh!AV39="Left", "High", IF(Aundh!AP39&lt;=2, "Medium", "Low"))</f>
        <v>Medium</v>
      </c>
      <c r="C40">
        <f t="shared" ca="1" si="2"/>
        <v>85</v>
      </c>
      <c r="D40">
        <f t="shared" ca="1" si="2"/>
        <v>86</v>
      </c>
      <c r="E40" t="str">
        <f t="shared" ca="1" si="3"/>
        <v>-2%</v>
      </c>
      <c r="F40" t="str">
        <f ca="1">IF(TODAY() &gt; Aundh!AB40, "Overdue", "On Time")</f>
        <v>Overdue</v>
      </c>
    </row>
    <row r="41" spans="1:6" x14ac:dyDescent="0.25">
      <c r="A41" t="str">
        <f>IF(Aundh!I41&gt;85, "Excellent", IF(Aundh!I41&lt;5, "Good", "Average"))</f>
        <v>Average</v>
      </c>
      <c r="B41" t="str">
        <f>IF(Aundh!AV40="Left", "High", IF(Aundh!AP40&lt;=2, "Medium", "Low"))</f>
        <v>High</v>
      </c>
      <c r="C41">
        <f t="shared" ca="1" si="2"/>
        <v>99</v>
      </c>
      <c r="D41">
        <f t="shared" ca="1" si="2"/>
        <v>42</v>
      </c>
      <c r="E41" t="str">
        <f t="shared" ca="1" si="3"/>
        <v>135%</v>
      </c>
      <c r="F41" t="str">
        <f ca="1">IF(TODAY() &gt; Aundh!AB41, "Overdue", "On Time")</f>
        <v>Overdue</v>
      </c>
    </row>
    <row r="42" spans="1:6" x14ac:dyDescent="0.25">
      <c r="A42" t="str">
        <f>IF(Aundh!I42&gt;85, "Excellent", IF(Aundh!I42&lt;5, "Good", "Average"))</f>
        <v>Average</v>
      </c>
      <c r="B42" t="str">
        <f>IF(Aundh!AV41="Left", "High", IF(Aundh!AP41&lt;=2, "Medium", "Low"))</f>
        <v>Medium</v>
      </c>
      <c r="C42">
        <f t="shared" ref="C42:D51" ca="1" si="4">RANDBETWEEN(25,100)</f>
        <v>47</v>
      </c>
      <c r="D42">
        <f t="shared" ca="1" si="4"/>
        <v>59</v>
      </c>
      <c r="E42" t="str">
        <f t="shared" ca="1" si="3"/>
        <v>-21%</v>
      </c>
      <c r="F42" t="str">
        <f ca="1">IF(TODAY() &gt; Aundh!AB42, "Overdue", "On Time")</f>
        <v>Overdue</v>
      </c>
    </row>
    <row r="43" spans="1:6" x14ac:dyDescent="0.25">
      <c r="A43" t="str">
        <f>IF(Aundh!I43&gt;85, "Excellent", IF(Aundh!I43&lt;5, "Good", "Average"))</f>
        <v>Average</v>
      </c>
      <c r="B43" t="str">
        <f>IF(Aundh!AV42="Left", "High", IF(Aundh!AP42&lt;=2, "Medium", "Low"))</f>
        <v>Low</v>
      </c>
      <c r="C43">
        <f t="shared" ca="1" si="4"/>
        <v>30</v>
      </c>
      <c r="D43">
        <f t="shared" ca="1" si="4"/>
        <v>26</v>
      </c>
      <c r="E43" t="str">
        <f t="shared" ca="1" si="3"/>
        <v>15%</v>
      </c>
      <c r="F43" t="str">
        <f ca="1">IF(TODAY() &gt; Aundh!AB43, "Overdue", "On Time")</f>
        <v>Overdue</v>
      </c>
    </row>
    <row r="44" spans="1:6" x14ac:dyDescent="0.25">
      <c r="A44" t="str">
        <f>IF(Aundh!I44&gt;85, "Excellent", IF(Aundh!I44&lt;5, "Good", "Average"))</f>
        <v>Excellent</v>
      </c>
      <c r="B44" t="str">
        <f>IF(Aundh!AV43="Left", "High", IF(Aundh!AP43&lt;=2, "Medium", "Low"))</f>
        <v>Medium</v>
      </c>
      <c r="C44">
        <f t="shared" ca="1" si="4"/>
        <v>47</v>
      </c>
      <c r="D44">
        <f t="shared" ca="1" si="4"/>
        <v>44</v>
      </c>
      <c r="E44" t="str">
        <f t="shared" ca="1" si="3"/>
        <v>6%</v>
      </c>
      <c r="F44" t="str">
        <f ca="1">IF(TODAY() &gt; Aundh!AB44, "Overdue", "On Time")</f>
        <v>Overdue</v>
      </c>
    </row>
    <row r="45" spans="1:6" x14ac:dyDescent="0.25">
      <c r="A45" t="str">
        <f>IF(Aundh!I45&gt;85, "Excellent", IF(Aundh!I45&lt;5, "Good", "Average"))</f>
        <v>Average</v>
      </c>
      <c r="B45" t="str">
        <f>IF(Aundh!AV44="Left", "High", IF(Aundh!AP44&lt;=2, "Medium", "Low"))</f>
        <v>Low</v>
      </c>
      <c r="C45">
        <f t="shared" ca="1" si="4"/>
        <v>100</v>
      </c>
      <c r="D45">
        <f t="shared" ca="1" si="4"/>
        <v>66</v>
      </c>
      <c r="E45" t="str">
        <f t="shared" ca="1" si="3"/>
        <v>51%</v>
      </c>
      <c r="F45" t="str">
        <f ca="1">IF(TODAY() &gt; Aundh!AB45, "Overdue", "On Time")</f>
        <v>Overdue</v>
      </c>
    </row>
    <row r="46" spans="1:6" x14ac:dyDescent="0.25">
      <c r="A46" t="str">
        <f>IF(Aundh!I46&gt;85, "Excellent", IF(Aundh!I46&lt;5, "Good", "Average"))</f>
        <v>Excellent</v>
      </c>
      <c r="B46" t="str">
        <f>IF(Aundh!AV45="Left", "High", IF(Aundh!AP45&lt;=2, "Medium", "Low"))</f>
        <v>High</v>
      </c>
      <c r="C46">
        <f t="shared" ca="1" si="4"/>
        <v>50</v>
      </c>
      <c r="D46">
        <f t="shared" ca="1" si="4"/>
        <v>44</v>
      </c>
      <c r="E46" t="str">
        <f t="shared" ca="1" si="3"/>
        <v>13%</v>
      </c>
      <c r="F46" t="str">
        <f ca="1">IF(TODAY() &gt; Aundh!AB46, "Overdue", "On Time")</f>
        <v>Overdue</v>
      </c>
    </row>
    <row r="47" spans="1:6" x14ac:dyDescent="0.25">
      <c r="A47" t="str">
        <f>IF(Aundh!I47&gt;85, "Excellent", IF(Aundh!I47&lt;5, "Good", "Average"))</f>
        <v>Average</v>
      </c>
      <c r="B47" t="str">
        <f>IF(Aundh!AV46="Left", "High", IF(Aundh!AP46&lt;=2, "Medium", "Low"))</f>
        <v>Medium</v>
      </c>
      <c r="C47">
        <f t="shared" ca="1" si="4"/>
        <v>81</v>
      </c>
      <c r="D47">
        <f t="shared" ca="1" si="4"/>
        <v>34</v>
      </c>
      <c r="E47" t="str">
        <f t="shared" ca="1" si="3"/>
        <v>138%</v>
      </c>
      <c r="F47" t="str">
        <f ca="1">IF(TODAY() &gt; Aundh!AB47, "Overdue", "On Time")</f>
        <v>Overdue</v>
      </c>
    </row>
    <row r="48" spans="1:6" x14ac:dyDescent="0.25">
      <c r="A48" t="str">
        <f>IF(Aundh!I48&gt;85, "Excellent", IF(Aundh!I48&lt;5, "Good", "Average"))</f>
        <v>Excellent</v>
      </c>
      <c r="B48" t="str">
        <f>IF(Aundh!AV47="Left", "High", IF(Aundh!AP47&lt;=2, "Medium", "Low"))</f>
        <v>Medium</v>
      </c>
      <c r="C48">
        <f t="shared" ca="1" si="4"/>
        <v>95</v>
      </c>
      <c r="D48">
        <f t="shared" ca="1" si="4"/>
        <v>34</v>
      </c>
      <c r="E48" t="str">
        <f t="shared" ca="1" si="3"/>
        <v>179%</v>
      </c>
      <c r="F48" t="str">
        <f ca="1">IF(TODAY() &gt; Aundh!AB48, "Overdue", "On Time")</f>
        <v>Overdue</v>
      </c>
    </row>
    <row r="49" spans="1:6" x14ac:dyDescent="0.25">
      <c r="A49" t="str">
        <f>IF(Aundh!I49&gt;85, "Excellent", IF(Aundh!I49&lt;5, "Good", "Average"))</f>
        <v>Excellent</v>
      </c>
      <c r="B49" t="str">
        <f>IF(Aundh!AV48="Left", "High", IF(Aundh!AP48&lt;=2, "Medium", "Low"))</f>
        <v>Medium</v>
      </c>
      <c r="C49">
        <f t="shared" ca="1" si="4"/>
        <v>91</v>
      </c>
      <c r="D49">
        <f t="shared" ca="1" si="4"/>
        <v>26</v>
      </c>
      <c r="E49" t="str">
        <f t="shared" ca="1" si="3"/>
        <v>250%</v>
      </c>
      <c r="F49" t="str">
        <f ca="1">IF(TODAY() &gt; Aundh!AB49, "Overdue", "On Time")</f>
        <v>Overdue</v>
      </c>
    </row>
    <row r="50" spans="1:6" x14ac:dyDescent="0.25">
      <c r="A50" t="str">
        <f>IF(Aundh!I50&gt;85, "Excellent", IF(Aundh!I50&lt;5, "Good", "Average"))</f>
        <v>Average</v>
      </c>
      <c r="B50" t="str">
        <f>IF(Aundh!AV49="Left", "High", IF(Aundh!AP49&lt;=2, "Medium", "Low"))</f>
        <v>High</v>
      </c>
      <c r="C50">
        <f t="shared" ca="1" si="4"/>
        <v>90</v>
      </c>
      <c r="D50">
        <f t="shared" ca="1" si="4"/>
        <v>98</v>
      </c>
      <c r="E50" t="str">
        <f t="shared" ca="1" si="3"/>
        <v>-9%</v>
      </c>
      <c r="F50" t="str">
        <f ca="1">IF(TODAY() &gt; Aundh!AB50, "Overdue", "On Time")</f>
        <v>Overdue</v>
      </c>
    </row>
    <row r="51" spans="1:6" x14ac:dyDescent="0.25">
      <c r="A51" t="str">
        <f>IF(Aundh!I51&gt;85, "Excellent", IF(Aundh!I51&lt;5, "Good", "Average"))</f>
        <v>Average</v>
      </c>
      <c r="B51" t="str">
        <f>IF(Aundh!AV50="Left", "High", IF(Aundh!AP50&lt;=2, "Medium", "Low"))</f>
        <v>Low</v>
      </c>
      <c r="C51">
        <f t="shared" ca="1" si="4"/>
        <v>61</v>
      </c>
      <c r="D51">
        <f t="shared" ca="1" si="4"/>
        <v>74</v>
      </c>
      <c r="E51" t="str">
        <f t="shared" ca="1" si="3"/>
        <v>-18%</v>
      </c>
      <c r="F51" t="str">
        <f ca="1">IF(TODAY() &gt; Aundh!AB51, "Overdue", "On Time")</f>
        <v>Overdue</v>
      </c>
    </row>
  </sheetData>
  <conditionalFormatting sqref="F2:F51">
    <cfRule type="containsText" dxfId="2" priority="1" operator="containsText" text="Overdue">
      <formula>NOT(ISERROR(SEARCH("Overdue",F2)))</formula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W51"/>
  <sheetViews>
    <sheetView topLeftCell="A24" workbookViewId="0">
      <selection activeCell="E2" sqref="A2:XFD51"/>
    </sheetView>
  </sheetViews>
  <sheetFormatPr defaultRowHeight="15" x14ac:dyDescent="0.25"/>
  <cols>
    <col min="1" max="1" width="10.28515625" bestFit="1" customWidth="1"/>
    <col min="2" max="2" width="19.5703125" bestFit="1" customWidth="1"/>
    <col min="3" max="3" width="12.140625" bestFit="1" customWidth="1"/>
    <col min="4" max="4" width="7.5703125" bestFit="1" customWidth="1"/>
    <col min="5" max="5" width="22.140625" bestFit="1" customWidth="1"/>
    <col min="6" max="6" width="27.7109375" bestFit="1" customWidth="1"/>
    <col min="7" max="7" width="18.5703125" bestFit="1" customWidth="1"/>
    <col min="8" max="8" width="20.42578125" bestFit="1" customWidth="1"/>
    <col min="9" max="9" width="33.85546875" bestFit="1" customWidth="1"/>
    <col min="10" max="10" width="18.140625" bestFit="1" customWidth="1"/>
    <col min="11" max="11" width="15.42578125" bestFit="1" customWidth="1"/>
    <col min="12" max="12" width="24.28515625" bestFit="1" customWidth="1"/>
    <col min="13" max="13" width="10.140625" bestFit="1" customWidth="1"/>
    <col min="14" max="14" width="15.140625" bestFit="1" customWidth="1"/>
    <col min="15" max="15" width="14.28515625" bestFit="1" customWidth="1"/>
    <col min="16" max="16" width="20" bestFit="1" customWidth="1"/>
    <col min="17" max="17" width="7.28515625" bestFit="1" customWidth="1"/>
    <col min="18" max="18" width="12.85546875" bestFit="1" customWidth="1"/>
    <col min="19" max="19" width="10" bestFit="1" customWidth="1"/>
    <col min="20" max="20" width="12.140625" bestFit="1" customWidth="1"/>
    <col min="21" max="21" width="15.5703125" bestFit="1" customWidth="1"/>
    <col min="22" max="22" width="16.42578125" bestFit="1" customWidth="1"/>
    <col min="23" max="23" width="16.7109375" bestFit="1" customWidth="1"/>
    <col min="24" max="24" width="12.42578125" bestFit="1" customWidth="1"/>
    <col min="25" max="25" width="16" bestFit="1" customWidth="1"/>
    <col min="26" max="26" width="14.42578125" bestFit="1" customWidth="1"/>
    <col min="27" max="27" width="15.5703125" bestFit="1" customWidth="1"/>
    <col min="28" max="28" width="22.5703125" bestFit="1" customWidth="1"/>
    <col min="29" max="29" width="14.85546875" bestFit="1" customWidth="1"/>
    <col min="30" max="30" width="16.42578125" bestFit="1" customWidth="1"/>
    <col min="31" max="31" width="21.7109375" bestFit="1" customWidth="1"/>
    <col min="32" max="32" width="18" bestFit="1" customWidth="1"/>
    <col min="33" max="33" width="13.85546875" bestFit="1" customWidth="1"/>
    <col min="34" max="34" width="19.5703125" bestFit="1" customWidth="1"/>
    <col min="35" max="35" width="30.140625" bestFit="1" customWidth="1"/>
    <col min="36" max="36" width="22.7109375" bestFit="1" customWidth="1"/>
    <col min="37" max="37" width="16.42578125" bestFit="1" customWidth="1"/>
    <col min="38" max="38" width="20.5703125" bestFit="1" customWidth="1"/>
    <col min="39" max="39" width="14.85546875" bestFit="1" customWidth="1"/>
    <col min="40" max="40" width="21.85546875" bestFit="1" customWidth="1"/>
    <col min="41" max="41" width="15.85546875" bestFit="1" customWidth="1"/>
    <col min="42" max="42" width="17" bestFit="1" customWidth="1"/>
    <col min="43" max="43" width="18.140625" bestFit="1" customWidth="1"/>
    <col min="44" max="44" width="14.7109375" bestFit="1" customWidth="1"/>
    <col min="45" max="45" width="16.42578125" bestFit="1" customWidth="1"/>
    <col min="46" max="46" width="12.5703125" bestFit="1" customWidth="1"/>
    <col min="47" max="47" width="31.28515625" bestFit="1" customWidth="1"/>
    <col min="48" max="48" width="14.140625" customWidth="1"/>
    <col min="49" max="49" width="17.855468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618</v>
      </c>
      <c r="B2" t="s">
        <v>1321</v>
      </c>
      <c r="C2" t="s">
        <v>619</v>
      </c>
      <c r="D2" t="s">
        <v>130</v>
      </c>
      <c r="E2" t="s">
        <v>620</v>
      </c>
      <c r="F2" t="s">
        <v>621</v>
      </c>
      <c r="G2" t="s">
        <v>622</v>
      </c>
      <c r="H2" t="s">
        <v>87</v>
      </c>
      <c r="I2">
        <v>75</v>
      </c>
      <c r="J2" t="s">
        <v>623</v>
      </c>
      <c r="K2" t="s">
        <v>242</v>
      </c>
      <c r="L2">
        <v>3</v>
      </c>
      <c r="M2" t="s">
        <v>60</v>
      </c>
      <c r="N2" t="s">
        <v>385</v>
      </c>
      <c r="O2" t="s">
        <v>624</v>
      </c>
      <c r="P2" t="s">
        <v>550</v>
      </c>
      <c r="Q2" t="s">
        <v>204</v>
      </c>
      <c r="R2" t="s">
        <v>140</v>
      </c>
      <c r="S2" t="s">
        <v>66</v>
      </c>
      <c r="T2" t="s">
        <v>118</v>
      </c>
      <c r="U2" t="s">
        <v>243</v>
      </c>
      <c r="V2" t="s">
        <v>551</v>
      </c>
      <c r="W2">
        <v>19153</v>
      </c>
      <c r="X2">
        <v>18645</v>
      </c>
      <c r="Y2">
        <v>508</v>
      </c>
      <c r="Z2">
        <v>533</v>
      </c>
      <c r="AA2" t="s">
        <v>70</v>
      </c>
      <c r="AC2" t="s">
        <v>71</v>
      </c>
      <c r="AD2" t="s">
        <v>191</v>
      </c>
      <c r="AE2">
        <v>4</v>
      </c>
      <c r="AF2">
        <v>80</v>
      </c>
      <c r="AG2">
        <v>85</v>
      </c>
      <c r="AH2" t="s">
        <v>96</v>
      </c>
      <c r="AI2">
        <v>87</v>
      </c>
      <c r="AJ2">
        <v>28</v>
      </c>
      <c r="AK2">
        <v>21</v>
      </c>
      <c r="AL2" t="s">
        <v>97</v>
      </c>
      <c r="AM2">
        <v>75</v>
      </c>
      <c r="AN2" t="s">
        <v>98</v>
      </c>
      <c r="AO2">
        <v>5</v>
      </c>
      <c r="AP2">
        <v>3</v>
      </c>
      <c r="AQ2" t="s">
        <v>567</v>
      </c>
      <c r="AR2" t="s">
        <v>373</v>
      </c>
      <c r="AS2" t="s">
        <v>70</v>
      </c>
      <c r="AT2" t="s">
        <v>76</v>
      </c>
      <c r="AU2" t="s">
        <v>77</v>
      </c>
      <c r="AV2" t="s">
        <v>147</v>
      </c>
    </row>
    <row r="3" spans="1:49" x14ac:dyDescent="0.25">
      <c r="A3" t="s">
        <v>625</v>
      </c>
      <c r="B3" t="s">
        <v>1369</v>
      </c>
      <c r="C3" t="s">
        <v>626</v>
      </c>
      <c r="D3" t="s">
        <v>52</v>
      </c>
      <c r="E3" t="s">
        <v>627</v>
      </c>
      <c r="F3" t="s">
        <v>628</v>
      </c>
      <c r="G3" t="s">
        <v>629</v>
      </c>
      <c r="H3" t="s">
        <v>135</v>
      </c>
      <c r="I3">
        <v>68</v>
      </c>
      <c r="J3" t="s">
        <v>630</v>
      </c>
      <c r="K3" t="s">
        <v>111</v>
      </c>
      <c r="L3">
        <v>6</v>
      </c>
      <c r="M3" t="s">
        <v>112</v>
      </c>
      <c r="N3" t="s">
        <v>631</v>
      </c>
      <c r="O3" t="s">
        <v>632</v>
      </c>
      <c r="P3" t="s">
        <v>297</v>
      </c>
      <c r="Q3" t="s">
        <v>204</v>
      </c>
      <c r="R3" t="s">
        <v>65</v>
      </c>
      <c r="S3" t="s">
        <v>232</v>
      </c>
      <c r="T3" t="s">
        <v>205</v>
      </c>
      <c r="U3" t="s">
        <v>263</v>
      </c>
      <c r="V3" t="s">
        <v>332</v>
      </c>
      <c r="W3">
        <v>37083</v>
      </c>
      <c r="X3">
        <v>35376</v>
      </c>
      <c r="Y3">
        <v>1707</v>
      </c>
      <c r="Z3">
        <v>1810</v>
      </c>
      <c r="AA3" t="s">
        <v>98</v>
      </c>
      <c r="AB3" t="s">
        <v>94</v>
      </c>
      <c r="AC3" t="s">
        <v>71</v>
      </c>
      <c r="AD3" t="s">
        <v>95</v>
      </c>
      <c r="AE3">
        <v>1</v>
      </c>
      <c r="AF3">
        <v>45</v>
      </c>
      <c r="AG3">
        <v>49</v>
      </c>
      <c r="AH3" t="s">
        <v>96</v>
      </c>
      <c r="AI3">
        <v>91</v>
      </c>
      <c r="AJ3">
        <v>32</v>
      </c>
      <c r="AK3">
        <v>24</v>
      </c>
      <c r="AM3">
        <v>75</v>
      </c>
      <c r="AN3" t="s">
        <v>98</v>
      </c>
      <c r="AO3">
        <v>5</v>
      </c>
      <c r="AP3">
        <v>5</v>
      </c>
      <c r="AQ3" t="s">
        <v>428</v>
      </c>
      <c r="AR3" t="s">
        <v>633</v>
      </c>
      <c r="AS3" t="s">
        <v>98</v>
      </c>
      <c r="AT3" t="s">
        <v>287</v>
      </c>
      <c r="AU3" t="s">
        <v>126</v>
      </c>
      <c r="AV3" t="s">
        <v>147</v>
      </c>
    </row>
    <row r="4" spans="1:49" x14ac:dyDescent="0.25">
      <c r="A4" t="s">
        <v>634</v>
      </c>
      <c r="B4" t="s">
        <v>1370</v>
      </c>
      <c r="C4" t="s">
        <v>635</v>
      </c>
      <c r="D4" t="s">
        <v>52</v>
      </c>
      <c r="E4" t="s">
        <v>636</v>
      </c>
      <c r="F4" t="s">
        <v>637</v>
      </c>
      <c r="G4" t="s">
        <v>638</v>
      </c>
      <c r="H4" t="s">
        <v>57</v>
      </c>
      <c r="I4">
        <v>71</v>
      </c>
      <c r="J4" t="s">
        <v>639</v>
      </c>
      <c r="K4" t="s">
        <v>294</v>
      </c>
      <c r="L4">
        <v>6</v>
      </c>
      <c r="M4" t="s">
        <v>89</v>
      </c>
      <c r="N4" t="s">
        <v>640</v>
      </c>
      <c r="O4" t="s">
        <v>641</v>
      </c>
      <c r="P4" t="s">
        <v>259</v>
      </c>
      <c r="Q4" t="s">
        <v>204</v>
      </c>
      <c r="R4" t="s">
        <v>140</v>
      </c>
      <c r="S4" t="s">
        <v>232</v>
      </c>
      <c r="T4" t="s">
        <v>273</v>
      </c>
      <c r="U4" t="s">
        <v>298</v>
      </c>
      <c r="V4" t="s">
        <v>298</v>
      </c>
      <c r="W4">
        <v>27152</v>
      </c>
      <c r="X4">
        <v>27006</v>
      </c>
      <c r="Y4">
        <v>146</v>
      </c>
      <c r="Z4">
        <v>201</v>
      </c>
      <c r="AA4" t="s">
        <v>98</v>
      </c>
      <c r="AB4" t="s">
        <v>208</v>
      </c>
      <c r="AC4" t="s">
        <v>71</v>
      </c>
      <c r="AD4" t="s">
        <v>191</v>
      </c>
      <c r="AE4">
        <v>7</v>
      </c>
      <c r="AF4">
        <v>67</v>
      </c>
      <c r="AG4">
        <v>83</v>
      </c>
      <c r="AH4" t="s">
        <v>96</v>
      </c>
      <c r="AI4">
        <v>70</v>
      </c>
      <c r="AJ4">
        <v>44</v>
      </c>
      <c r="AK4">
        <v>33</v>
      </c>
      <c r="AL4" t="s">
        <v>122</v>
      </c>
      <c r="AM4">
        <v>75</v>
      </c>
      <c r="AN4" t="s">
        <v>70</v>
      </c>
      <c r="AO4">
        <v>1</v>
      </c>
      <c r="AP4">
        <v>3</v>
      </c>
      <c r="AQ4" t="s">
        <v>440</v>
      </c>
      <c r="AR4" t="s">
        <v>119</v>
      </c>
      <c r="AS4" t="s">
        <v>98</v>
      </c>
      <c r="AT4" t="s">
        <v>125</v>
      </c>
      <c r="AU4" t="s">
        <v>77</v>
      </c>
      <c r="AV4" t="s">
        <v>147</v>
      </c>
    </row>
    <row r="5" spans="1:49" x14ac:dyDescent="0.25">
      <c r="A5" t="s">
        <v>642</v>
      </c>
      <c r="B5" t="s">
        <v>643</v>
      </c>
      <c r="C5" t="s">
        <v>644</v>
      </c>
      <c r="D5" t="s">
        <v>106</v>
      </c>
      <c r="E5" t="s">
        <v>645</v>
      </c>
      <c r="F5" t="s">
        <v>646</v>
      </c>
      <c r="G5" t="s">
        <v>647</v>
      </c>
      <c r="H5" t="s">
        <v>1393</v>
      </c>
      <c r="I5">
        <v>73</v>
      </c>
      <c r="J5" t="s">
        <v>648</v>
      </c>
      <c r="K5" t="s">
        <v>59</v>
      </c>
      <c r="L5">
        <v>12</v>
      </c>
      <c r="M5" t="s">
        <v>60</v>
      </c>
      <c r="N5" t="s">
        <v>649</v>
      </c>
      <c r="O5" t="s">
        <v>650</v>
      </c>
      <c r="P5" t="s">
        <v>320</v>
      </c>
      <c r="Q5" t="s">
        <v>116</v>
      </c>
      <c r="R5" t="s">
        <v>140</v>
      </c>
      <c r="S5" t="s">
        <v>141</v>
      </c>
      <c r="T5" t="s">
        <v>273</v>
      </c>
      <c r="U5" t="s">
        <v>157</v>
      </c>
      <c r="V5" t="s">
        <v>274</v>
      </c>
      <c r="W5">
        <v>43597</v>
      </c>
      <c r="X5">
        <v>42766</v>
      </c>
      <c r="Y5">
        <v>831</v>
      </c>
      <c r="Z5">
        <v>4331</v>
      </c>
      <c r="AA5" t="s">
        <v>70</v>
      </c>
      <c r="AC5" t="s">
        <v>71</v>
      </c>
      <c r="AD5" t="s">
        <v>72</v>
      </c>
      <c r="AE5">
        <v>3</v>
      </c>
      <c r="AF5">
        <v>80</v>
      </c>
      <c r="AG5">
        <v>89</v>
      </c>
      <c r="AH5" t="s">
        <v>96</v>
      </c>
      <c r="AI5">
        <v>65</v>
      </c>
      <c r="AJ5">
        <v>44</v>
      </c>
      <c r="AK5">
        <v>44</v>
      </c>
      <c r="AL5" t="s">
        <v>97</v>
      </c>
      <c r="AM5">
        <v>100</v>
      </c>
      <c r="AN5" t="s">
        <v>70</v>
      </c>
      <c r="AO5">
        <v>4</v>
      </c>
      <c r="AP5">
        <v>4</v>
      </c>
      <c r="AQ5" t="s">
        <v>209</v>
      </c>
      <c r="AR5" t="s">
        <v>477</v>
      </c>
      <c r="AS5" t="s">
        <v>98</v>
      </c>
      <c r="AT5" t="s">
        <v>125</v>
      </c>
      <c r="AU5" t="s">
        <v>160</v>
      </c>
      <c r="AV5" t="s">
        <v>78</v>
      </c>
      <c r="AW5" t="s">
        <v>102</v>
      </c>
    </row>
    <row r="6" spans="1:49" x14ac:dyDescent="0.25">
      <c r="A6" t="s">
        <v>651</v>
      </c>
      <c r="B6" t="s">
        <v>53</v>
      </c>
      <c r="C6" t="s">
        <v>652</v>
      </c>
      <c r="D6" t="s">
        <v>52</v>
      </c>
      <c r="E6" t="s">
        <v>653</v>
      </c>
      <c r="F6" t="s">
        <v>654</v>
      </c>
      <c r="G6" t="s">
        <v>655</v>
      </c>
      <c r="H6" t="s">
        <v>1393</v>
      </c>
      <c r="I6">
        <v>83</v>
      </c>
      <c r="J6" t="s">
        <v>656</v>
      </c>
      <c r="K6" t="s">
        <v>169</v>
      </c>
      <c r="L6">
        <v>12</v>
      </c>
      <c r="M6" t="s">
        <v>89</v>
      </c>
      <c r="N6" t="s">
        <v>640</v>
      </c>
      <c r="O6" t="s">
        <v>657</v>
      </c>
      <c r="P6" t="s">
        <v>331</v>
      </c>
      <c r="Q6" t="s">
        <v>64</v>
      </c>
      <c r="R6" t="s">
        <v>140</v>
      </c>
      <c r="S6" t="s">
        <v>232</v>
      </c>
      <c r="T6" t="s">
        <v>67</v>
      </c>
      <c r="U6" t="s">
        <v>170</v>
      </c>
      <c r="V6" t="s">
        <v>372</v>
      </c>
      <c r="W6">
        <v>40999</v>
      </c>
      <c r="X6">
        <v>40345</v>
      </c>
      <c r="Y6">
        <v>654</v>
      </c>
      <c r="Z6">
        <v>737</v>
      </c>
      <c r="AA6" t="s">
        <v>98</v>
      </c>
      <c r="AB6" t="s">
        <v>307</v>
      </c>
      <c r="AC6" t="s">
        <v>71</v>
      </c>
      <c r="AD6" t="s">
        <v>191</v>
      </c>
      <c r="AE6">
        <v>4</v>
      </c>
      <c r="AF6">
        <v>65</v>
      </c>
      <c r="AG6">
        <v>67</v>
      </c>
      <c r="AH6" t="s">
        <v>96</v>
      </c>
      <c r="AI6">
        <v>71</v>
      </c>
      <c r="AJ6">
        <v>20</v>
      </c>
      <c r="AK6">
        <v>20</v>
      </c>
      <c r="AM6">
        <v>100</v>
      </c>
      <c r="AN6" t="s">
        <v>98</v>
      </c>
      <c r="AO6">
        <v>5</v>
      </c>
      <c r="AP6">
        <v>5</v>
      </c>
      <c r="AQ6" t="s">
        <v>341</v>
      </c>
      <c r="AR6" t="s">
        <v>658</v>
      </c>
      <c r="AS6" t="s">
        <v>70</v>
      </c>
      <c r="AT6" t="s">
        <v>76</v>
      </c>
      <c r="AU6" t="s">
        <v>126</v>
      </c>
      <c r="AV6" t="s">
        <v>147</v>
      </c>
    </row>
    <row r="7" spans="1:49" x14ac:dyDescent="0.25">
      <c r="A7" t="s">
        <v>659</v>
      </c>
      <c r="B7" t="s">
        <v>1371</v>
      </c>
      <c r="C7" t="s">
        <v>660</v>
      </c>
      <c r="D7" t="s">
        <v>130</v>
      </c>
      <c r="E7" t="s">
        <v>661</v>
      </c>
      <c r="F7" t="s">
        <v>662</v>
      </c>
      <c r="G7" t="s">
        <v>663</v>
      </c>
      <c r="H7" t="s">
        <v>87</v>
      </c>
      <c r="I7">
        <v>84</v>
      </c>
      <c r="J7" t="s">
        <v>664</v>
      </c>
      <c r="K7" t="s">
        <v>111</v>
      </c>
      <c r="L7">
        <v>6</v>
      </c>
      <c r="M7" t="s">
        <v>60</v>
      </c>
      <c r="N7" t="s">
        <v>466</v>
      </c>
      <c r="O7" t="s">
        <v>665</v>
      </c>
      <c r="P7" t="s">
        <v>371</v>
      </c>
      <c r="Q7" t="s">
        <v>116</v>
      </c>
      <c r="R7" t="s">
        <v>65</v>
      </c>
      <c r="S7" t="s">
        <v>141</v>
      </c>
      <c r="T7" t="s">
        <v>205</v>
      </c>
      <c r="U7" t="s">
        <v>439</v>
      </c>
      <c r="V7" t="s">
        <v>186</v>
      </c>
      <c r="W7">
        <v>43066</v>
      </c>
      <c r="X7">
        <v>41360</v>
      </c>
      <c r="Y7">
        <v>1706</v>
      </c>
      <c r="Z7">
        <v>4896</v>
      </c>
      <c r="AA7" t="s">
        <v>98</v>
      </c>
      <c r="AB7" t="s">
        <v>332</v>
      </c>
      <c r="AC7" t="s">
        <v>71</v>
      </c>
      <c r="AD7" t="s">
        <v>72</v>
      </c>
      <c r="AE7">
        <v>8</v>
      </c>
      <c r="AF7">
        <v>70</v>
      </c>
      <c r="AG7">
        <v>83</v>
      </c>
      <c r="AH7" t="s">
        <v>96</v>
      </c>
      <c r="AI7">
        <v>76</v>
      </c>
      <c r="AJ7">
        <v>60</v>
      </c>
      <c r="AK7">
        <v>37</v>
      </c>
      <c r="AL7" t="s">
        <v>97</v>
      </c>
      <c r="AM7">
        <v>61</v>
      </c>
      <c r="AN7" t="s">
        <v>98</v>
      </c>
      <c r="AO7">
        <v>2</v>
      </c>
      <c r="AP7">
        <v>3</v>
      </c>
      <c r="AQ7" t="s">
        <v>666</v>
      </c>
      <c r="AR7" t="s">
        <v>94</v>
      </c>
      <c r="AS7" t="s">
        <v>98</v>
      </c>
      <c r="AT7" t="s">
        <v>287</v>
      </c>
      <c r="AU7" t="s">
        <v>77</v>
      </c>
      <c r="AV7" t="s">
        <v>147</v>
      </c>
    </row>
    <row r="8" spans="1:49" x14ac:dyDescent="0.25">
      <c r="A8" t="s">
        <v>667</v>
      </c>
      <c r="B8" t="s">
        <v>1372</v>
      </c>
      <c r="C8" t="s">
        <v>668</v>
      </c>
      <c r="D8" t="s">
        <v>106</v>
      </c>
      <c r="E8" t="s">
        <v>669</v>
      </c>
      <c r="F8" t="s">
        <v>670</v>
      </c>
      <c r="G8" t="s">
        <v>671</v>
      </c>
      <c r="H8" t="s">
        <v>135</v>
      </c>
      <c r="I8">
        <v>82</v>
      </c>
      <c r="J8" t="s">
        <v>672</v>
      </c>
      <c r="K8" t="s">
        <v>242</v>
      </c>
      <c r="L8">
        <v>3</v>
      </c>
      <c r="M8" t="s">
        <v>89</v>
      </c>
      <c r="N8" t="s">
        <v>640</v>
      </c>
      <c r="O8" t="s">
        <v>397</v>
      </c>
      <c r="P8" t="s">
        <v>115</v>
      </c>
      <c r="Q8" t="s">
        <v>64</v>
      </c>
      <c r="R8" t="s">
        <v>140</v>
      </c>
      <c r="S8" t="s">
        <v>117</v>
      </c>
      <c r="T8" t="s">
        <v>118</v>
      </c>
      <c r="U8" t="s">
        <v>260</v>
      </c>
      <c r="V8" t="s">
        <v>260</v>
      </c>
      <c r="W8">
        <v>36223</v>
      </c>
      <c r="X8">
        <v>34524</v>
      </c>
      <c r="Y8">
        <v>1699</v>
      </c>
      <c r="Z8">
        <v>2380</v>
      </c>
      <c r="AA8" t="s">
        <v>70</v>
      </c>
      <c r="AC8" t="s">
        <v>71</v>
      </c>
      <c r="AD8" t="s">
        <v>72</v>
      </c>
      <c r="AE8">
        <v>7</v>
      </c>
      <c r="AF8">
        <v>71</v>
      </c>
      <c r="AG8">
        <v>97</v>
      </c>
      <c r="AH8" t="s">
        <v>234</v>
      </c>
      <c r="AI8">
        <v>97</v>
      </c>
      <c r="AJ8">
        <v>56</v>
      </c>
      <c r="AK8">
        <v>35</v>
      </c>
      <c r="AL8" t="s">
        <v>97</v>
      </c>
      <c r="AM8">
        <v>62</v>
      </c>
      <c r="AN8" t="s">
        <v>98</v>
      </c>
      <c r="AO8">
        <v>3</v>
      </c>
      <c r="AP8">
        <v>1</v>
      </c>
      <c r="AQ8" t="s">
        <v>467</v>
      </c>
      <c r="AR8" t="s">
        <v>286</v>
      </c>
      <c r="AS8" t="s">
        <v>98</v>
      </c>
      <c r="AT8" t="s">
        <v>177</v>
      </c>
      <c r="AU8" t="s">
        <v>126</v>
      </c>
      <c r="AV8" t="s">
        <v>147</v>
      </c>
    </row>
    <row r="9" spans="1:49" x14ac:dyDescent="0.25">
      <c r="A9" t="s">
        <v>673</v>
      </c>
      <c r="B9" t="s">
        <v>267</v>
      </c>
      <c r="C9" t="s">
        <v>674</v>
      </c>
      <c r="D9" t="s">
        <v>106</v>
      </c>
      <c r="E9" t="s">
        <v>675</v>
      </c>
      <c r="F9" t="s">
        <v>676</v>
      </c>
      <c r="G9" t="s">
        <v>677</v>
      </c>
      <c r="H9" t="s">
        <v>135</v>
      </c>
      <c r="I9">
        <v>75</v>
      </c>
      <c r="J9" t="s">
        <v>678</v>
      </c>
      <c r="K9" t="s">
        <v>294</v>
      </c>
      <c r="L9">
        <v>6</v>
      </c>
      <c r="M9" t="s">
        <v>112</v>
      </c>
      <c r="N9" t="s">
        <v>246</v>
      </c>
      <c r="O9" t="s">
        <v>679</v>
      </c>
      <c r="P9" t="s">
        <v>285</v>
      </c>
      <c r="Q9" t="s">
        <v>64</v>
      </c>
      <c r="R9" t="s">
        <v>140</v>
      </c>
      <c r="S9" t="s">
        <v>232</v>
      </c>
      <c r="T9" t="s">
        <v>118</v>
      </c>
      <c r="U9" t="s">
        <v>386</v>
      </c>
      <c r="V9" t="s">
        <v>229</v>
      </c>
      <c r="W9">
        <v>32353</v>
      </c>
      <c r="X9">
        <v>29995</v>
      </c>
      <c r="Y9">
        <v>2358</v>
      </c>
      <c r="Z9">
        <v>2960</v>
      </c>
      <c r="AA9" t="s">
        <v>98</v>
      </c>
      <c r="AB9" t="s">
        <v>68</v>
      </c>
      <c r="AC9" t="s">
        <v>71</v>
      </c>
      <c r="AD9" t="s">
        <v>72</v>
      </c>
      <c r="AE9">
        <v>3</v>
      </c>
      <c r="AF9">
        <v>54</v>
      </c>
      <c r="AG9">
        <v>69</v>
      </c>
      <c r="AH9" t="s">
        <v>234</v>
      </c>
      <c r="AI9">
        <v>65</v>
      </c>
      <c r="AJ9">
        <v>53</v>
      </c>
      <c r="AK9">
        <v>33</v>
      </c>
      <c r="AL9" t="s">
        <v>122</v>
      </c>
      <c r="AM9">
        <v>62</v>
      </c>
      <c r="AN9" t="s">
        <v>70</v>
      </c>
      <c r="AO9">
        <v>5</v>
      </c>
      <c r="AP9">
        <v>1</v>
      </c>
      <c r="AQ9" t="s">
        <v>397</v>
      </c>
      <c r="AR9" t="s">
        <v>144</v>
      </c>
      <c r="AS9" t="s">
        <v>70</v>
      </c>
      <c r="AT9" t="s">
        <v>76</v>
      </c>
      <c r="AU9" t="s">
        <v>160</v>
      </c>
      <c r="AV9" t="s">
        <v>147</v>
      </c>
    </row>
    <row r="10" spans="1:49" x14ac:dyDescent="0.25">
      <c r="A10" t="s">
        <v>680</v>
      </c>
      <c r="B10" t="s">
        <v>460</v>
      </c>
      <c r="C10" t="s">
        <v>681</v>
      </c>
      <c r="D10" t="s">
        <v>106</v>
      </c>
      <c r="E10" t="s">
        <v>682</v>
      </c>
      <c r="F10" t="s">
        <v>683</v>
      </c>
      <c r="G10" t="s">
        <v>684</v>
      </c>
      <c r="H10" t="s">
        <v>87</v>
      </c>
      <c r="I10">
        <v>63</v>
      </c>
      <c r="J10" t="s">
        <v>685</v>
      </c>
      <c r="K10" t="s">
        <v>59</v>
      </c>
      <c r="L10">
        <v>3</v>
      </c>
      <c r="M10" t="s">
        <v>60</v>
      </c>
      <c r="N10" t="s">
        <v>598</v>
      </c>
      <c r="O10" t="s">
        <v>686</v>
      </c>
      <c r="P10" t="s">
        <v>371</v>
      </c>
      <c r="Q10" t="s">
        <v>116</v>
      </c>
      <c r="R10" t="s">
        <v>65</v>
      </c>
      <c r="S10" t="s">
        <v>219</v>
      </c>
      <c r="T10" t="s">
        <v>118</v>
      </c>
      <c r="U10" t="s">
        <v>502</v>
      </c>
      <c r="V10" t="s">
        <v>208</v>
      </c>
      <c r="W10">
        <v>21182</v>
      </c>
      <c r="X10">
        <v>19925</v>
      </c>
      <c r="Y10">
        <v>1257</v>
      </c>
      <c r="Z10">
        <v>3889</v>
      </c>
      <c r="AA10" t="s">
        <v>70</v>
      </c>
      <c r="AC10" t="s">
        <v>71</v>
      </c>
      <c r="AD10" t="s">
        <v>191</v>
      </c>
      <c r="AE10">
        <v>10</v>
      </c>
      <c r="AF10">
        <v>82</v>
      </c>
      <c r="AG10">
        <v>98</v>
      </c>
      <c r="AH10" t="s">
        <v>73</v>
      </c>
      <c r="AI10">
        <v>86</v>
      </c>
      <c r="AJ10">
        <v>35</v>
      </c>
      <c r="AK10">
        <v>32</v>
      </c>
      <c r="AL10" t="s">
        <v>97</v>
      </c>
      <c r="AM10">
        <v>91</v>
      </c>
      <c r="AN10" t="s">
        <v>98</v>
      </c>
      <c r="AO10">
        <v>2</v>
      </c>
      <c r="AP10">
        <v>4</v>
      </c>
      <c r="AQ10" t="s">
        <v>235</v>
      </c>
      <c r="AR10" t="s">
        <v>687</v>
      </c>
      <c r="AS10" t="s">
        <v>98</v>
      </c>
      <c r="AT10" t="s">
        <v>287</v>
      </c>
      <c r="AU10" t="s">
        <v>160</v>
      </c>
      <c r="AV10" t="s">
        <v>78</v>
      </c>
      <c r="AW10" t="s">
        <v>276</v>
      </c>
    </row>
    <row r="11" spans="1:49" x14ac:dyDescent="0.25">
      <c r="A11" t="s">
        <v>688</v>
      </c>
      <c r="B11" t="s">
        <v>128</v>
      </c>
      <c r="C11" t="s">
        <v>689</v>
      </c>
      <c r="D11" t="s">
        <v>52</v>
      </c>
      <c r="E11" t="s">
        <v>690</v>
      </c>
      <c r="F11" t="s">
        <v>691</v>
      </c>
      <c r="G11" t="s">
        <v>692</v>
      </c>
      <c r="H11" t="s">
        <v>87</v>
      </c>
      <c r="I11">
        <v>92</v>
      </c>
      <c r="J11" t="s">
        <v>693</v>
      </c>
      <c r="K11" t="s">
        <v>169</v>
      </c>
      <c r="L11">
        <v>6</v>
      </c>
      <c r="M11" t="s">
        <v>112</v>
      </c>
      <c r="N11" t="s">
        <v>694</v>
      </c>
      <c r="O11" t="s">
        <v>695</v>
      </c>
      <c r="P11" t="s">
        <v>285</v>
      </c>
      <c r="Q11" t="s">
        <v>116</v>
      </c>
      <c r="R11" t="s">
        <v>65</v>
      </c>
      <c r="S11" t="s">
        <v>219</v>
      </c>
      <c r="T11" t="s">
        <v>142</v>
      </c>
      <c r="U11" t="s">
        <v>143</v>
      </c>
      <c r="V11" t="s">
        <v>696</v>
      </c>
      <c r="W11">
        <v>40487</v>
      </c>
      <c r="X11">
        <v>40461</v>
      </c>
      <c r="Y11">
        <v>26</v>
      </c>
      <c r="Z11">
        <v>2041</v>
      </c>
      <c r="AA11" t="s">
        <v>70</v>
      </c>
      <c r="AC11" t="s">
        <v>71</v>
      </c>
      <c r="AD11" t="s">
        <v>191</v>
      </c>
      <c r="AE11">
        <v>5</v>
      </c>
      <c r="AF11">
        <v>84</v>
      </c>
      <c r="AG11">
        <v>88</v>
      </c>
      <c r="AH11" t="s">
        <v>73</v>
      </c>
      <c r="AI11">
        <v>80</v>
      </c>
      <c r="AJ11">
        <v>38</v>
      </c>
      <c r="AK11">
        <v>30</v>
      </c>
      <c r="AL11" t="s">
        <v>97</v>
      </c>
      <c r="AM11">
        <v>78</v>
      </c>
      <c r="AN11" t="s">
        <v>70</v>
      </c>
      <c r="AO11">
        <v>4</v>
      </c>
      <c r="AP11">
        <v>1</v>
      </c>
      <c r="AQ11" t="s">
        <v>697</v>
      </c>
      <c r="AR11" t="s">
        <v>192</v>
      </c>
      <c r="AS11" t="s">
        <v>70</v>
      </c>
      <c r="AT11" t="s">
        <v>76</v>
      </c>
      <c r="AU11" t="s">
        <v>77</v>
      </c>
      <c r="AV11" t="s">
        <v>78</v>
      </c>
      <c r="AW11" t="s">
        <v>79</v>
      </c>
    </row>
    <row r="12" spans="1:49" x14ac:dyDescent="0.25">
      <c r="A12" t="s">
        <v>698</v>
      </c>
      <c r="B12" t="s">
        <v>1373</v>
      </c>
      <c r="C12" t="s">
        <v>699</v>
      </c>
      <c r="D12" t="s">
        <v>106</v>
      </c>
      <c r="E12" t="s">
        <v>701</v>
      </c>
      <c r="F12" t="s">
        <v>702</v>
      </c>
      <c r="G12" t="s">
        <v>703</v>
      </c>
      <c r="H12" t="s">
        <v>1393</v>
      </c>
      <c r="I12">
        <v>71</v>
      </c>
      <c r="J12" t="s">
        <v>704</v>
      </c>
      <c r="K12" t="s">
        <v>169</v>
      </c>
      <c r="L12">
        <v>3</v>
      </c>
      <c r="M12" t="s">
        <v>89</v>
      </c>
      <c r="N12" t="s">
        <v>705</v>
      </c>
      <c r="O12" t="s">
        <v>341</v>
      </c>
      <c r="P12" t="s">
        <v>371</v>
      </c>
      <c r="Q12" t="s">
        <v>64</v>
      </c>
      <c r="R12" t="s">
        <v>65</v>
      </c>
      <c r="S12" t="s">
        <v>141</v>
      </c>
      <c r="T12" t="s">
        <v>142</v>
      </c>
      <c r="U12" t="s">
        <v>382</v>
      </c>
      <c r="V12" t="s">
        <v>706</v>
      </c>
      <c r="W12">
        <v>29023</v>
      </c>
      <c r="X12">
        <v>28414</v>
      </c>
      <c r="Y12">
        <v>609</v>
      </c>
      <c r="Z12">
        <v>1370</v>
      </c>
      <c r="AA12" t="s">
        <v>70</v>
      </c>
      <c r="AC12" t="s">
        <v>71</v>
      </c>
      <c r="AD12" t="s">
        <v>95</v>
      </c>
      <c r="AE12">
        <v>6</v>
      </c>
      <c r="AF12">
        <v>87</v>
      </c>
      <c r="AG12">
        <v>92</v>
      </c>
      <c r="AH12" t="s">
        <v>96</v>
      </c>
      <c r="AI12">
        <v>98</v>
      </c>
      <c r="AJ12">
        <v>24</v>
      </c>
      <c r="AK12">
        <v>22</v>
      </c>
      <c r="AL12" t="s">
        <v>122</v>
      </c>
      <c r="AM12">
        <v>91</v>
      </c>
      <c r="AN12" t="s">
        <v>98</v>
      </c>
      <c r="AO12">
        <v>1</v>
      </c>
      <c r="AP12">
        <v>5</v>
      </c>
      <c r="AQ12" t="s">
        <v>68</v>
      </c>
      <c r="AR12" t="s">
        <v>189</v>
      </c>
      <c r="AS12" t="s">
        <v>98</v>
      </c>
      <c r="AT12" t="s">
        <v>101</v>
      </c>
      <c r="AU12" t="s">
        <v>160</v>
      </c>
      <c r="AV12" t="s">
        <v>147</v>
      </c>
    </row>
    <row r="13" spans="1:49" x14ac:dyDescent="0.25">
      <c r="A13" t="s">
        <v>707</v>
      </c>
      <c r="B13" t="s">
        <v>1374</v>
      </c>
      <c r="C13" t="s">
        <v>708</v>
      </c>
      <c r="D13" t="s">
        <v>106</v>
      </c>
      <c r="E13" t="s">
        <v>709</v>
      </c>
      <c r="F13" t="s">
        <v>710</v>
      </c>
      <c r="G13" t="s">
        <v>711</v>
      </c>
      <c r="H13" t="s">
        <v>1392</v>
      </c>
      <c r="I13">
        <v>80</v>
      </c>
      <c r="J13" t="s">
        <v>712</v>
      </c>
      <c r="K13" t="s">
        <v>294</v>
      </c>
      <c r="L13">
        <v>12</v>
      </c>
      <c r="M13" t="s">
        <v>89</v>
      </c>
      <c r="N13" t="s">
        <v>382</v>
      </c>
      <c r="O13" t="s">
        <v>713</v>
      </c>
      <c r="P13" t="s">
        <v>203</v>
      </c>
      <c r="Q13" t="s">
        <v>116</v>
      </c>
      <c r="R13" t="s">
        <v>65</v>
      </c>
      <c r="S13" t="s">
        <v>219</v>
      </c>
      <c r="T13" t="s">
        <v>273</v>
      </c>
      <c r="U13" t="s">
        <v>274</v>
      </c>
      <c r="V13" t="s">
        <v>714</v>
      </c>
      <c r="W13">
        <v>49929</v>
      </c>
      <c r="X13">
        <v>49526</v>
      </c>
      <c r="Y13">
        <v>403</v>
      </c>
      <c r="Z13">
        <v>3120</v>
      </c>
      <c r="AA13" t="s">
        <v>70</v>
      </c>
      <c r="AC13" t="s">
        <v>71</v>
      </c>
      <c r="AD13" t="s">
        <v>72</v>
      </c>
      <c r="AE13">
        <v>6</v>
      </c>
      <c r="AF13">
        <v>78</v>
      </c>
      <c r="AG13">
        <v>94</v>
      </c>
      <c r="AH13" t="s">
        <v>234</v>
      </c>
      <c r="AI13">
        <v>61</v>
      </c>
      <c r="AJ13">
        <v>45</v>
      </c>
      <c r="AK13">
        <v>17</v>
      </c>
      <c r="AL13" t="s">
        <v>122</v>
      </c>
      <c r="AM13">
        <v>37</v>
      </c>
      <c r="AN13" t="s">
        <v>70</v>
      </c>
      <c r="AO13">
        <v>5</v>
      </c>
      <c r="AP13">
        <v>4</v>
      </c>
      <c r="AQ13" t="s">
        <v>566</v>
      </c>
      <c r="AR13" t="s">
        <v>362</v>
      </c>
      <c r="AS13" t="s">
        <v>98</v>
      </c>
      <c r="AT13" t="s">
        <v>101</v>
      </c>
      <c r="AU13" t="s">
        <v>77</v>
      </c>
      <c r="AV13" t="s">
        <v>78</v>
      </c>
      <c r="AW13" t="s">
        <v>276</v>
      </c>
    </row>
    <row r="14" spans="1:49" x14ac:dyDescent="0.25">
      <c r="A14" t="s">
        <v>715</v>
      </c>
      <c r="B14" t="s">
        <v>486</v>
      </c>
      <c r="C14" t="s">
        <v>716</v>
      </c>
      <c r="D14" t="s">
        <v>52</v>
      </c>
      <c r="E14" t="s">
        <v>717</v>
      </c>
      <c r="F14" t="s">
        <v>718</v>
      </c>
      <c r="G14" t="s">
        <v>719</v>
      </c>
      <c r="H14" t="s">
        <v>87</v>
      </c>
      <c r="I14">
        <v>88</v>
      </c>
      <c r="J14" t="s">
        <v>720</v>
      </c>
      <c r="K14" t="s">
        <v>242</v>
      </c>
      <c r="L14">
        <v>6</v>
      </c>
      <c r="M14" t="s">
        <v>112</v>
      </c>
      <c r="N14" t="s">
        <v>535</v>
      </c>
      <c r="O14" t="s">
        <v>721</v>
      </c>
      <c r="P14" t="s">
        <v>92</v>
      </c>
      <c r="Q14" t="s">
        <v>204</v>
      </c>
      <c r="R14" t="s">
        <v>140</v>
      </c>
      <c r="S14" t="s">
        <v>66</v>
      </c>
      <c r="T14" t="s">
        <v>273</v>
      </c>
      <c r="U14" t="s">
        <v>217</v>
      </c>
      <c r="V14" t="s">
        <v>262</v>
      </c>
      <c r="W14">
        <v>24675</v>
      </c>
      <c r="X14">
        <v>23682</v>
      </c>
      <c r="Y14">
        <v>993</v>
      </c>
      <c r="Z14">
        <v>4194</v>
      </c>
      <c r="AA14" t="s">
        <v>98</v>
      </c>
      <c r="AB14" t="s">
        <v>275</v>
      </c>
      <c r="AC14" t="s">
        <v>71</v>
      </c>
      <c r="AD14" t="s">
        <v>72</v>
      </c>
      <c r="AE14">
        <v>10</v>
      </c>
      <c r="AF14">
        <v>87</v>
      </c>
      <c r="AG14">
        <v>90</v>
      </c>
      <c r="AH14" t="s">
        <v>234</v>
      </c>
      <c r="AI14">
        <v>91</v>
      </c>
      <c r="AJ14">
        <v>36</v>
      </c>
      <c r="AK14">
        <v>15</v>
      </c>
      <c r="AM14">
        <v>41</v>
      </c>
      <c r="AN14" t="s">
        <v>70</v>
      </c>
      <c r="AO14">
        <v>5</v>
      </c>
      <c r="AP14">
        <v>3</v>
      </c>
      <c r="AQ14" t="s">
        <v>68</v>
      </c>
      <c r="AR14" t="s">
        <v>352</v>
      </c>
      <c r="AS14" t="s">
        <v>70</v>
      </c>
      <c r="AT14" t="s">
        <v>177</v>
      </c>
      <c r="AU14" t="s">
        <v>77</v>
      </c>
      <c r="AV14" t="s">
        <v>147</v>
      </c>
    </row>
    <row r="15" spans="1:49" x14ac:dyDescent="0.25">
      <c r="A15" t="s">
        <v>722</v>
      </c>
      <c r="B15" t="s">
        <v>1375</v>
      </c>
      <c r="C15" t="s">
        <v>723</v>
      </c>
      <c r="D15" t="s">
        <v>106</v>
      </c>
      <c r="E15" t="s">
        <v>724</v>
      </c>
      <c r="F15" t="s">
        <v>281</v>
      </c>
      <c r="G15" t="s">
        <v>725</v>
      </c>
      <c r="H15" t="s">
        <v>57</v>
      </c>
      <c r="I15">
        <v>85</v>
      </c>
      <c r="J15" t="s">
        <v>726</v>
      </c>
      <c r="K15" t="s">
        <v>59</v>
      </c>
      <c r="L15">
        <v>3</v>
      </c>
      <c r="M15" t="s">
        <v>60</v>
      </c>
      <c r="N15" t="s">
        <v>261</v>
      </c>
      <c r="O15" t="s">
        <v>727</v>
      </c>
      <c r="P15" t="s">
        <v>396</v>
      </c>
      <c r="Q15" t="s">
        <v>64</v>
      </c>
      <c r="R15" t="s">
        <v>140</v>
      </c>
      <c r="S15" t="s">
        <v>232</v>
      </c>
      <c r="T15" t="s">
        <v>205</v>
      </c>
      <c r="U15" t="s">
        <v>309</v>
      </c>
      <c r="V15" t="s">
        <v>309</v>
      </c>
      <c r="W15">
        <v>45065</v>
      </c>
      <c r="X15">
        <v>40719</v>
      </c>
      <c r="Y15">
        <v>4346</v>
      </c>
      <c r="Z15">
        <v>4930</v>
      </c>
      <c r="AA15" t="s">
        <v>98</v>
      </c>
      <c r="AB15" t="s">
        <v>728</v>
      </c>
      <c r="AC15" t="s">
        <v>71</v>
      </c>
      <c r="AD15" t="s">
        <v>121</v>
      </c>
      <c r="AE15">
        <v>7</v>
      </c>
      <c r="AF15">
        <v>76</v>
      </c>
      <c r="AG15">
        <v>99</v>
      </c>
      <c r="AH15" t="s">
        <v>73</v>
      </c>
      <c r="AI15">
        <v>63</v>
      </c>
      <c r="AJ15">
        <v>51</v>
      </c>
      <c r="AK15">
        <v>20</v>
      </c>
      <c r="AM15">
        <v>100</v>
      </c>
      <c r="AN15" t="s">
        <v>98</v>
      </c>
      <c r="AO15">
        <v>3</v>
      </c>
      <c r="AP15">
        <v>5</v>
      </c>
      <c r="AQ15" t="s">
        <v>729</v>
      </c>
      <c r="AR15" t="s">
        <v>730</v>
      </c>
      <c r="AS15" t="s">
        <v>98</v>
      </c>
      <c r="AT15" t="s">
        <v>125</v>
      </c>
      <c r="AU15" t="s">
        <v>126</v>
      </c>
      <c r="AV15" t="s">
        <v>147</v>
      </c>
    </row>
    <row r="16" spans="1:49" x14ac:dyDescent="0.25">
      <c r="A16" t="s">
        <v>731</v>
      </c>
      <c r="B16" t="s">
        <v>1376</v>
      </c>
      <c r="C16" t="s">
        <v>732</v>
      </c>
      <c r="D16" t="s">
        <v>106</v>
      </c>
      <c r="E16" t="s">
        <v>733</v>
      </c>
      <c r="F16" t="s">
        <v>734</v>
      </c>
      <c r="G16" t="s">
        <v>735</v>
      </c>
      <c r="H16" t="s">
        <v>57</v>
      </c>
      <c r="I16">
        <v>79</v>
      </c>
      <c r="J16" t="s">
        <v>736</v>
      </c>
      <c r="K16" t="s">
        <v>169</v>
      </c>
      <c r="L16">
        <v>12</v>
      </c>
      <c r="M16" t="s">
        <v>60</v>
      </c>
      <c r="N16" t="s">
        <v>640</v>
      </c>
      <c r="O16" t="s">
        <v>657</v>
      </c>
      <c r="P16" t="s">
        <v>203</v>
      </c>
      <c r="Q16" t="s">
        <v>204</v>
      </c>
      <c r="R16" t="s">
        <v>65</v>
      </c>
      <c r="S16" t="s">
        <v>117</v>
      </c>
      <c r="T16" t="s">
        <v>142</v>
      </c>
      <c r="U16" t="s">
        <v>597</v>
      </c>
      <c r="V16" t="s">
        <v>439</v>
      </c>
      <c r="W16">
        <v>35116</v>
      </c>
      <c r="X16">
        <v>32648</v>
      </c>
      <c r="Y16">
        <v>2468</v>
      </c>
      <c r="Z16">
        <v>3991</v>
      </c>
      <c r="AA16" t="s">
        <v>98</v>
      </c>
      <c r="AB16" t="s">
        <v>263</v>
      </c>
      <c r="AC16" t="s">
        <v>71</v>
      </c>
      <c r="AD16" t="s">
        <v>95</v>
      </c>
      <c r="AE16">
        <v>8</v>
      </c>
      <c r="AF16">
        <v>90</v>
      </c>
      <c r="AG16">
        <v>96</v>
      </c>
      <c r="AH16" t="s">
        <v>96</v>
      </c>
      <c r="AI16">
        <v>80</v>
      </c>
      <c r="AJ16">
        <v>36</v>
      </c>
      <c r="AK16">
        <v>36</v>
      </c>
      <c r="AL16" t="s">
        <v>97</v>
      </c>
      <c r="AM16">
        <v>100</v>
      </c>
      <c r="AN16" t="s">
        <v>98</v>
      </c>
      <c r="AO16">
        <v>3</v>
      </c>
      <c r="AP16">
        <v>5</v>
      </c>
      <c r="AQ16" t="s">
        <v>137</v>
      </c>
      <c r="AR16" t="s">
        <v>208</v>
      </c>
      <c r="AS16" t="s">
        <v>70</v>
      </c>
      <c r="AT16" t="s">
        <v>177</v>
      </c>
      <c r="AU16" t="s">
        <v>77</v>
      </c>
      <c r="AV16" t="s">
        <v>78</v>
      </c>
      <c r="AW16" t="s">
        <v>79</v>
      </c>
    </row>
    <row r="17" spans="1:49" x14ac:dyDescent="0.25">
      <c r="A17" t="s">
        <v>737</v>
      </c>
      <c r="B17" t="s">
        <v>1377</v>
      </c>
      <c r="C17" t="s">
        <v>738</v>
      </c>
      <c r="D17" t="s">
        <v>52</v>
      </c>
      <c r="E17" t="s">
        <v>739</v>
      </c>
      <c r="F17" t="s">
        <v>740</v>
      </c>
      <c r="G17" t="s">
        <v>741</v>
      </c>
      <c r="H17" t="s">
        <v>135</v>
      </c>
      <c r="I17">
        <v>80</v>
      </c>
      <c r="J17" t="s">
        <v>742</v>
      </c>
      <c r="K17" t="s">
        <v>59</v>
      </c>
      <c r="L17">
        <v>12</v>
      </c>
      <c r="M17" t="s">
        <v>112</v>
      </c>
      <c r="N17" t="s">
        <v>581</v>
      </c>
      <c r="O17" t="s">
        <v>743</v>
      </c>
      <c r="P17" t="s">
        <v>550</v>
      </c>
      <c r="Q17" t="s">
        <v>64</v>
      </c>
      <c r="R17" t="s">
        <v>140</v>
      </c>
      <c r="S17" t="s">
        <v>219</v>
      </c>
      <c r="T17" t="s">
        <v>142</v>
      </c>
      <c r="U17" t="s">
        <v>426</v>
      </c>
      <c r="V17" t="s">
        <v>426</v>
      </c>
      <c r="W17">
        <v>44771</v>
      </c>
      <c r="X17">
        <v>43191</v>
      </c>
      <c r="Y17">
        <v>1580</v>
      </c>
      <c r="Z17">
        <v>1738</v>
      </c>
      <c r="AA17" t="s">
        <v>70</v>
      </c>
      <c r="AC17" t="s">
        <v>71</v>
      </c>
      <c r="AD17" t="s">
        <v>121</v>
      </c>
      <c r="AE17">
        <v>4</v>
      </c>
      <c r="AF17">
        <v>44</v>
      </c>
      <c r="AG17">
        <v>73</v>
      </c>
      <c r="AH17" t="s">
        <v>73</v>
      </c>
      <c r="AI17">
        <v>85</v>
      </c>
      <c r="AJ17">
        <v>20</v>
      </c>
      <c r="AK17">
        <v>16</v>
      </c>
      <c r="AL17" t="s">
        <v>122</v>
      </c>
      <c r="AM17">
        <v>80</v>
      </c>
      <c r="AN17" t="s">
        <v>70</v>
      </c>
      <c r="AO17">
        <v>3</v>
      </c>
      <c r="AP17">
        <v>5</v>
      </c>
      <c r="AQ17" t="s">
        <v>157</v>
      </c>
      <c r="AR17" t="s">
        <v>385</v>
      </c>
      <c r="AS17" t="s">
        <v>98</v>
      </c>
      <c r="AT17" t="s">
        <v>101</v>
      </c>
      <c r="AU17" t="s">
        <v>77</v>
      </c>
      <c r="AV17" t="s">
        <v>147</v>
      </c>
    </row>
    <row r="18" spans="1:49" x14ac:dyDescent="0.25">
      <c r="A18" t="s">
        <v>744</v>
      </c>
      <c r="B18" t="s">
        <v>1378</v>
      </c>
      <c r="C18" t="s">
        <v>745</v>
      </c>
      <c r="D18" t="s">
        <v>130</v>
      </c>
      <c r="E18" t="s">
        <v>746</v>
      </c>
      <c r="F18" t="s">
        <v>747</v>
      </c>
      <c r="G18" t="s">
        <v>748</v>
      </c>
      <c r="H18" t="s">
        <v>1393</v>
      </c>
      <c r="I18">
        <v>87</v>
      </c>
      <c r="J18" t="s">
        <v>749</v>
      </c>
      <c r="K18" t="s">
        <v>242</v>
      </c>
      <c r="L18">
        <v>6</v>
      </c>
      <c r="M18" t="s">
        <v>89</v>
      </c>
      <c r="N18" t="s">
        <v>631</v>
      </c>
      <c r="O18" t="s">
        <v>632</v>
      </c>
      <c r="P18" t="s">
        <v>559</v>
      </c>
      <c r="Q18" t="s">
        <v>116</v>
      </c>
      <c r="R18" t="s">
        <v>65</v>
      </c>
      <c r="S18" t="s">
        <v>232</v>
      </c>
      <c r="T18" t="s">
        <v>118</v>
      </c>
      <c r="U18" t="s">
        <v>74</v>
      </c>
      <c r="V18" t="s">
        <v>99</v>
      </c>
      <c r="W18">
        <v>23886</v>
      </c>
      <c r="X18">
        <v>23471</v>
      </c>
      <c r="Y18">
        <v>415</v>
      </c>
      <c r="Z18">
        <v>1110</v>
      </c>
      <c r="AA18" t="s">
        <v>70</v>
      </c>
      <c r="AC18" t="s">
        <v>71</v>
      </c>
      <c r="AD18" t="s">
        <v>121</v>
      </c>
      <c r="AE18">
        <v>6</v>
      </c>
      <c r="AF18">
        <v>69</v>
      </c>
      <c r="AG18">
        <v>83</v>
      </c>
      <c r="AH18" t="s">
        <v>234</v>
      </c>
      <c r="AI18">
        <v>95</v>
      </c>
      <c r="AJ18">
        <v>22</v>
      </c>
      <c r="AK18">
        <v>16</v>
      </c>
      <c r="AL18" t="s">
        <v>122</v>
      </c>
      <c r="AM18">
        <v>72</v>
      </c>
      <c r="AN18" t="s">
        <v>98</v>
      </c>
      <c r="AO18">
        <v>5</v>
      </c>
      <c r="AP18">
        <v>5</v>
      </c>
      <c r="AQ18" t="s">
        <v>750</v>
      </c>
      <c r="AR18" t="s">
        <v>751</v>
      </c>
      <c r="AS18" t="s">
        <v>98</v>
      </c>
      <c r="AT18" t="s">
        <v>177</v>
      </c>
      <c r="AU18" t="s">
        <v>160</v>
      </c>
      <c r="AV18" t="s">
        <v>147</v>
      </c>
    </row>
    <row r="19" spans="1:49" x14ac:dyDescent="0.25">
      <c r="A19" t="s">
        <v>752</v>
      </c>
      <c r="B19" t="s">
        <v>1379</v>
      </c>
      <c r="C19" t="s">
        <v>753</v>
      </c>
      <c r="D19" t="s">
        <v>130</v>
      </c>
      <c r="E19" t="s">
        <v>754</v>
      </c>
      <c r="F19" t="s">
        <v>755</v>
      </c>
      <c r="G19" t="s">
        <v>756</v>
      </c>
      <c r="H19" t="s">
        <v>57</v>
      </c>
      <c r="I19">
        <v>94</v>
      </c>
      <c r="J19" t="s">
        <v>757</v>
      </c>
      <c r="K19" t="s">
        <v>294</v>
      </c>
      <c r="L19">
        <v>6</v>
      </c>
      <c r="M19" t="s">
        <v>60</v>
      </c>
      <c r="N19" t="s">
        <v>322</v>
      </c>
      <c r="O19" t="s">
        <v>758</v>
      </c>
      <c r="P19" t="s">
        <v>172</v>
      </c>
      <c r="Q19" t="s">
        <v>116</v>
      </c>
      <c r="R19" t="s">
        <v>140</v>
      </c>
      <c r="S19" t="s">
        <v>232</v>
      </c>
      <c r="T19" t="s">
        <v>273</v>
      </c>
      <c r="U19" t="s">
        <v>321</v>
      </c>
      <c r="V19" t="s">
        <v>449</v>
      </c>
      <c r="W19">
        <v>45617</v>
      </c>
      <c r="X19">
        <v>45592</v>
      </c>
      <c r="Y19">
        <v>25</v>
      </c>
      <c r="Z19">
        <v>114</v>
      </c>
      <c r="AA19" t="s">
        <v>70</v>
      </c>
      <c r="AC19" t="s">
        <v>71</v>
      </c>
      <c r="AD19" t="s">
        <v>121</v>
      </c>
      <c r="AE19">
        <v>5</v>
      </c>
      <c r="AF19">
        <v>68</v>
      </c>
      <c r="AG19">
        <v>69</v>
      </c>
      <c r="AH19" t="s">
        <v>96</v>
      </c>
      <c r="AI19">
        <v>63</v>
      </c>
      <c r="AJ19">
        <v>36</v>
      </c>
      <c r="AK19">
        <v>34</v>
      </c>
      <c r="AL19" t="s">
        <v>97</v>
      </c>
      <c r="AM19">
        <v>94</v>
      </c>
      <c r="AN19" t="s">
        <v>70</v>
      </c>
      <c r="AO19">
        <v>2</v>
      </c>
      <c r="AP19">
        <v>1</v>
      </c>
      <c r="AQ19" t="s">
        <v>666</v>
      </c>
      <c r="AR19" t="s">
        <v>94</v>
      </c>
      <c r="AS19" t="s">
        <v>70</v>
      </c>
      <c r="AT19" t="s">
        <v>287</v>
      </c>
      <c r="AU19" t="s">
        <v>77</v>
      </c>
      <c r="AV19" t="s">
        <v>147</v>
      </c>
    </row>
    <row r="20" spans="1:49" x14ac:dyDescent="0.25">
      <c r="A20" t="s">
        <v>759</v>
      </c>
      <c r="B20" t="s">
        <v>402</v>
      </c>
      <c r="C20" t="s">
        <v>760</v>
      </c>
      <c r="D20" t="s">
        <v>106</v>
      </c>
      <c r="E20" t="s">
        <v>761</v>
      </c>
      <c r="F20" t="s">
        <v>762</v>
      </c>
      <c r="G20" t="s">
        <v>763</v>
      </c>
      <c r="H20" t="s">
        <v>1392</v>
      </c>
      <c r="I20">
        <v>94</v>
      </c>
      <c r="J20" t="s">
        <v>764</v>
      </c>
      <c r="K20" t="s">
        <v>294</v>
      </c>
      <c r="L20">
        <v>6</v>
      </c>
      <c r="M20" t="s">
        <v>60</v>
      </c>
      <c r="N20" t="s">
        <v>61</v>
      </c>
      <c r="O20" t="s">
        <v>686</v>
      </c>
      <c r="P20" t="s">
        <v>396</v>
      </c>
      <c r="Q20" t="s">
        <v>64</v>
      </c>
      <c r="R20" t="s">
        <v>140</v>
      </c>
      <c r="S20" t="s">
        <v>232</v>
      </c>
      <c r="T20" t="s">
        <v>273</v>
      </c>
      <c r="U20" t="s">
        <v>217</v>
      </c>
      <c r="V20" t="s">
        <v>535</v>
      </c>
      <c r="W20">
        <v>49351</v>
      </c>
      <c r="X20">
        <v>48701</v>
      </c>
      <c r="Y20">
        <v>650</v>
      </c>
      <c r="Z20">
        <v>2068</v>
      </c>
      <c r="AA20" t="s">
        <v>70</v>
      </c>
      <c r="AC20" t="s">
        <v>71</v>
      </c>
      <c r="AD20" t="s">
        <v>121</v>
      </c>
      <c r="AE20">
        <v>2</v>
      </c>
      <c r="AF20">
        <v>76</v>
      </c>
      <c r="AG20">
        <v>87</v>
      </c>
      <c r="AH20" t="s">
        <v>96</v>
      </c>
      <c r="AI20">
        <v>65</v>
      </c>
      <c r="AJ20">
        <v>27</v>
      </c>
      <c r="AK20">
        <v>21</v>
      </c>
      <c r="AL20" t="s">
        <v>122</v>
      </c>
      <c r="AM20">
        <v>77</v>
      </c>
      <c r="AN20" t="s">
        <v>98</v>
      </c>
      <c r="AO20">
        <v>5</v>
      </c>
      <c r="AP20">
        <v>1</v>
      </c>
      <c r="AQ20" t="s">
        <v>765</v>
      </c>
      <c r="AR20" t="s">
        <v>766</v>
      </c>
      <c r="AS20" t="s">
        <v>98</v>
      </c>
      <c r="AT20" t="s">
        <v>125</v>
      </c>
      <c r="AU20" t="s">
        <v>77</v>
      </c>
      <c r="AV20" t="s">
        <v>78</v>
      </c>
      <c r="AW20" t="s">
        <v>102</v>
      </c>
    </row>
    <row r="21" spans="1:49" x14ac:dyDescent="0.25">
      <c r="A21" t="s">
        <v>767</v>
      </c>
      <c r="B21" t="s">
        <v>196</v>
      </c>
      <c r="C21" t="s">
        <v>768</v>
      </c>
      <c r="D21" t="s">
        <v>52</v>
      </c>
      <c r="E21" t="s">
        <v>769</v>
      </c>
      <c r="F21" t="s">
        <v>770</v>
      </c>
      <c r="G21" t="s">
        <v>771</v>
      </c>
      <c r="H21" t="s">
        <v>57</v>
      </c>
      <c r="I21">
        <v>86</v>
      </c>
      <c r="J21" t="s">
        <v>772</v>
      </c>
      <c r="K21" t="s">
        <v>111</v>
      </c>
      <c r="L21">
        <v>6</v>
      </c>
      <c r="M21" t="s">
        <v>112</v>
      </c>
      <c r="N21" t="s">
        <v>274</v>
      </c>
      <c r="O21" t="s">
        <v>773</v>
      </c>
      <c r="P21" t="s">
        <v>245</v>
      </c>
      <c r="Q21" t="s">
        <v>204</v>
      </c>
      <c r="R21" t="s">
        <v>140</v>
      </c>
      <c r="S21" t="s">
        <v>66</v>
      </c>
      <c r="T21" t="s">
        <v>142</v>
      </c>
      <c r="U21" t="s">
        <v>274</v>
      </c>
      <c r="V21" t="s">
        <v>360</v>
      </c>
      <c r="W21">
        <v>17301</v>
      </c>
      <c r="X21">
        <v>16524</v>
      </c>
      <c r="Y21">
        <v>777</v>
      </c>
      <c r="Z21">
        <v>3434</v>
      </c>
      <c r="AA21" t="s">
        <v>70</v>
      </c>
      <c r="AC21" t="s">
        <v>71</v>
      </c>
      <c r="AD21" t="s">
        <v>121</v>
      </c>
      <c r="AE21">
        <v>6</v>
      </c>
      <c r="AF21">
        <v>69</v>
      </c>
      <c r="AG21">
        <v>89</v>
      </c>
      <c r="AH21" t="s">
        <v>234</v>
      </c>
      <c r="AI21">
        <v>67</v>
      </c>
      <c r="AJ21">
        <v>30</v>
      </c>
      <c r="AK21">
        <v>18</v>
      </c>
      <c r="AM21">
        <v>60</v>
      </c>
      <c r="AN21" t="s">
        <v>98</v>
      </c>
      <c r="AO21">
        <v>1</v>
      </c>
      <c r="AP21">
        <v>5</v>
      </c>
      <c r="AQ21" t="s">
        <v>598</v>
      </c>
      <c r="AR21" t="s">
        <v>340</v>
      </c>
      <c r="AS21" t="s">
        <v>98</v>
      </c>
      <c r="AT21" t="s">
        <v>287</v>
      </c>
      <c r="AU21" t="s">
        <v>77</v>
      </c>
      <c r="AV21" t="s">
        <v>147</v>
      </c>
    </row>
    <row r="22" spans="1:49" x14ac:dyDescent="0.25">
      <c r="A22" t="s">
        <v>774</v>
      </c>
      <c r="B22" t="s">
        <v>419</v>
      </c>
      <c r="C22" t="s">
        <v>775</v>
      </c>
      <c r="D22" t="s">
        <v>52</v>
      </c>
      <c r="E22" t="s">
        <v>776</v>
      </c>
      <c r="F22" t="s">
        <v>777</v>
      </c>
      <c r="G22" t="s">
        <v>778</v>
      </c>
      <c r="H22" t="s">
        <v>57</v>
      </c>
      <c r="I22">
        <v>78</v>
      </c>
      <c r="J22" t="s">
        <v>779</v>
      </c>
      <c r="K22" t="s">
        <v>59</v>
      </c>
      <c r="L22">
        <v>3</v>
      </c>
      <c r="M22" t="s">
        <v>89</v>
      </c>
      <c r="N22" t="s">
        <v>780</v>
      </c>
      <c r="O22" t="s">
        <v>249</v>
      </c>
      <c r="P22" t="s">
        <v>371</v>
      </c>
      <c r="Q22" t="s">
        <v>204</v>
      </c>
      <c r="R22" t="s">
        <v>140</v>
      </c>
      <c r="S22" t="s">
        <v>117</v>
      </c>
      <c r="T22" t="s">
        <v>118</v>
      </c>
      <c r="U22" t="s">
        <v>93</v>
      </c>
      <c r="V22" t="s">
        <v>307</v>
      </c>
      <c r="W22">
        <v>19459</v>
      </c>
      <c r="X22">
        <v>17117</v>
      </c>
      <c r="Y22">
        <v>2342</v>
      </c>
      <c r="Z22">
        <v>3454</v>
      </c>
      <c r="AA22" t="s">
        <v>70</v>
      </c>
      <c r="AC22" t="s">
        <v>71</v>
      </c>
      <c r="AD22" t="s">
        <v>95</v>
      </c>
      <c r="AE22">
        <v>4</v>
      </c>
      <c r="AF22">
        <v>46</v>
      </c>
      <c r="AG22">
        <v>97</v>
      </c>
      <c r="AH22" t="s">
        <v>96</v>
      </c>
      <c r="AI22">
        <v>97</v>
      </c>
      <c r="AJ22">
        <v>56</v>
      </c>
      <c r="AK22">
        <v>32</v>
      </c>
      <c r="AM22">
        <v>57</v>
      </c>
      <c r="AN22" t="s">
        <v>70</v>
      </c>
      <c r="AO22">
        <v>3</v>
      </c>
      <c r="AP22">
        <v>2</v>
      </c>
      <c r="AQ22" t="s">
        <v>233</v>
      </c>
      <c r="AR22" t="s">
        <v>781</v>
      </c>
      <c r="AS22" t="s">
        <v>98</v>
      </c>
      <c r="AT22" t="s">
        <v>101</v>
      </c>
      <c r="AU22" t="s">
        <v>77</v>
      </c>
      <c r="AV22" t="s">
        <v>147</v>
      </c>
    </row>
    <row r="23" spans="1:49" x14ac:dyDescent="0.25">
      <c r="A23" t="s">
        <v>782</v>
      </c>
      <c r="B23" t="s">
        <v>278</v>
      </c>
      <c r="C23" t="s">
        <v>783</v>
      </c>
      <c r="D23" t="s">
        <v>52</v>
      </c>
      <c r="E23" t="s">
        <v>784</v>
      </c>
      <c r="F23" t="s">
        <v>785</v>
      </c>
      <c r="G23" t="s">
        <v>786</v>
      </c>
      <c r="H23" t="s">
        <v>87</v>
      </c>
      <c r="I23">
        <v>80</v>
      </c>
      <c r="J23" t="s">
        <v>787</v>
      </c>
      <c r="K23" t="s">
        <v>242</v>
      </c>
      <c r="L23">
        <v>6</v>
      </c>
      <c r="M23" t="s">
        <v>60</v>
      </c>
      <c r="N23" t="s">
        <v>788</v>
      </c>
      <c r="O23" t="s">
        <v>789</v>
      </c>
      <c r="P23" t="s">
        <v>203</v>
      </c>
      <c r="Q23" t="s">
        <v>204</v>
      </c>
      <c r="R23" t="s">
        <v>140</v>
      </c>
      <c r="S23" t="s">
        <v>141</v>
      </c>
      <c r="T23" t="s">
        <v>205</v>
      </c>
      <c r="U23" t="s">
        <v>201</v>
      </c>
      <c r="V23" t="s">
        <v>263</v>
      </c>
      <c r="W23">
        <v>20924</v>
      </c>
      <c r="X23">
        <v>19348</v>
      </c>
      <c r="Y23">
        <v>1576</v>
      </c>
      <c r="Z23">
        <v>3300</v>
      </c>
      <c r="AA23" t="s">
        <v>70</v>
      </c>
      <c r="AC23" t="s">
        <v>71</v>
      </c>
      <c r="AD23" t="s">
        <v>121</v>
      </c>
      <c r="AE23">
        <v>3</v>
      </c>
      <c r="AF23">
        <v>48</v>
      </c>
      <c r="AG23">
        <v>99</v>
      </c>
      <c r="AH23" t="s">
        <v>96</v>
      </c>
      <c r="AI23">
        <v>98</v>
      </c>
      <c r="AJ23">
        <v>30</v>
      </c>
      <c r="AK23">
        <v>19</v>
      </c>
      <c r="AM23">
        <v>63</v>
      </c>
      <c r="AN23" t="s">
        <v>70</v>
      </c>
      <c r="AO23">
        <v>5</v>
      </c>
      <c r="AP23">
        <v>3</v>
      </c>
      <c r="AQ23" t="s">
        <v>352</v>
      </c>
      <c r="AR23" t="s">
        <v>100</v>
      </c>
      <c r="AS23" t="s">
        <v>70</v>
      </c>
      <c r="AT23" t="s">
        <v>76</v>
      </c>
      <c r="AU23" t="s">
        <v>77</v>
      </c>
      <c r="AV23" t="s">
        <v>78</v>
      </c>
      <c r="AW23" t="s">
        <v>102</v>
      </c>
    </row>
    <row r="24" spans="1:49" x14ac:dyDescent="0.25">
      <c r="A24" t="s">
        <v>790</v>
      </c>
      <c r="B24" t="s">
        <v>1380</v>
      </c>
      <c r="C24" t="s">
        <v>791</v>
      </c>
      <c r="D24" t="s">
        <v>52</v>
      </c>
      <c r="E24" t="s">
        <v>792</v>
      </c>
      <c r="F24" t="s">
        <v>793</v>
      </c>
      <c r="G24" t="s">
        <v>735</v>
      </c>
      <c r="H24" t="s">
        <v>87</v>
      </c>
      <c r="I24">
        <v>67</v>
      </c>
      <c r="J24" t="s">
        <v>794</v>
      </c>
      <c r="K24" t="s">
        <v>111</v>
      </c>
      <c r="L24">
        <v>3</v>
      </c>
      <c r="M24" t="s">
        <v>60</v>
      </c>
      <c r="N24" t="s">
        <v>206</v>
      </c>
      <c r="O24" t="s">
        <v>795</v>
      </c>
      <c r="P24" t="s">
        <v>550</v>
      </c>
      <c r="Q24" t="s">
        <v>116</v>
      </c>
      <c r="R24" t="s">
        <v>65</v>
      </c>
      <c r="S24" t="s">
        <v>141</v>
      </c>
      <c r="T24" t="s">
        <v>67</v>
      </c>
      <c r="U24" t="s">
        <v>159</v>
      </c>
      <c r="V24" t="s">
        <v>159</v>
      </c>
      <c r="W24">
        <v>47341</v>
      </c>
      <c r="X24">
        <v>46395</v>
      </c>
      <c r="Y24">
        <v>946</v>
      </c>
      <c r="Z24">
        <v>1891</v>
      </c>
      <c r="AA24" t="s">
        <v>70</v>
      </c>
      <c r="AC24" t="s">
        <v>71</v>
      </c>
      <c r="AD24" t="s">
        <v>191</v>
      </c>
      <c r="AE24">
        <v>2</v>
      </c>
      <c r="AF24">
        <v>70</v>
      </c>
      <c r="AG24">
        <v>89</v>
      </c>
      <c r="AH24" t="s">
        <v>73</v>
      </c>
      <c r="AI24">
        <v>80</v>
      </c>
      <c r="AJ24">
        <v>44</v>
      </c>
      <c r="AK24">
        <v>28</v>
      </c>
      <c r="AL24" t="s">
        <v>122</v>
      </c>
      <c r="AM24">
        <v>63</v>
      </c>
      <c r="AN24" t="s">
        <v>70</v>
      </c>
      <c r="AO24">
        <v>1</v>
      </c>
      <c r="AP24">
        <v>2</v>
      </c>
      <c r="AQ24" t="s">
        <v>796</v>
      </c>
      <c r="AR24" t="s">
        <v>399</v>
      </c>
      <c r="AS24" t="s">
        <v>70</v>
      </c>
      <c r="AT24" t="s">
        <v>76</v>
      </c>
      <c r="AU24" t="s">
        <v>77</v>
      </c>
      <c r="AV24" t="s">
        <v>147</v>
      </c>
    </row>
    <row r="25" spans="1:49" x14ac:dyDescent="0.25">
      <c r="A25" t="s">
        <v>797</v>
      </c>
      <c r="B25" t="s">
        <v>224</v>
      </c>
      <c r="C25" t="s">
        <v>798</v>
      </c>
      <c r="D25" t="s">
        <v>106</v>
      </c>
      <c r="E25" t="s">
        <v>800</v>
      </c>
      <c r="F25" t="s">
        <v>801</v>
      </c>
      <c r="G25" t="s">
        <v>802</v>
      </c>
      <c r="H25" t="s">
        <v>1392</v>
      </c>
      <c r="I25">
        <v>87</v>
      </c>
      <c r="J25" t="s">
        <v>803</v>
      </c>
      <c r="K25" t="s">
        <v>242</v>
      </c>
      <c r="L25">
        <v>3</v>
      </c>
      <c r="M25" t="s">
        <v>60</v>
      </c>
      <c r="N25" t="s">
        <v>248</v>
      </c>
      <c r="O25" t="s">
        <v>75</v>
      </c>
      <c r="P25" t="s">
        <v>139</v>
      </c>
      <c r="Q25" t="s">
        <v>64</v>
      </c>
      <c r="R25" t="s">
        <v>140</v>
      </c>
      <c r="S25" t="s">
        <v>117</v>
      </c>
      <c r="T25" t="s">
        <v>142</v>
      </c>
      <c r="U25" t="s">
        <v>220</v>
      </c>
      <c r="V25" t="s">
        <v>321</v>
      </c>
      <c r="W25">
        <v>26352</v>
      </c>
      <c r="X25">
        <v>25125</v>
      </c>
      <c r="Y25">
        <v>1227</v>
      </c>
      <c r="Z25">
        <v>2445</v>
      </c>
      <c r="AA25" t="s">
        <v>98</v>
      </c>
      <c r="AB25" t="s">
        <v>249</v>
      </c>
      <c r="AC25" t="s">
        <v>71</v>
      </c>
      <c r="AD25" t="s">
        <v>191</v>
      </c>
      <c r="AE25">
        <v>2</v>
      </c>
      <c r="AF25">
        <v>54</v>
      </c>
      <c r="AG25">
        <v>73</v>
      </c>
      <c r="AH25" t="s">
        <v>73</v>
      </c>
      <c r="AI25">
        <v>64</v>
      </c>
      <c r="AJ25">
        <v>23</v>
      </c>
      <c r="AK25">
        <v>20</v>
      </c>
      <c r="AL25" t="s">
        <v>122</v>
      </c>
      <c r="AM25">
        <v>86</v>
      </c>
      <c r="AN25" t="s">
        <v>98</v>
      </c>
      <c r="AO25">
        <v>5</v>
      </c>
      <c r="AP25">
        <v>4</v>
      </c>
      <c r="AQ25" t="s">
        <v>93</v>
      </c>
      <c r="AR25" t="s">
        <v>765</v>
      </c>
      <c r="AS25" t="s">
        <v>98</v>
      </c>
      <c r="AT25" t="s">
        <v>101</v>
      </c>
      <c r="AU25" t="s">
        <v>126</v>
      </c>
      <c r="AV25" t="s">
        <v>78</v>
      </c>
      <c r="AW25" t="s">
        <v>79</v>
      </c>
    </row>
    <row r="26" spans="1:49" x14ac:dyDescent="0.25">
      <c r="A26" t="s">
        <v>804</v>
      </c>
      <c r="B26" t="s">
        <v>1381</v>
      </c>
      <c r="C26" t="s">
        <v>805</v>
      </c>
      <c r="D26" t="s">
        <v>130</v>
      </c>
      <c r="E26" t="s">
        <v>806</v>
      </c>
      <c r="F26" t="s">
        <v>807</v>
      </c>
      <c r="G26" t="s">
        <v>808</v>
      </c>
      <c r="H26" t="s">
        <v>135</v>
      </c>
      <c r="I26">
        <v>64</v>
      </c>
      <c r="J26" t="s">
        <v>809</v>
      </c>
      <c r="K26" t="s">
        <v>111</v>
      </c>
      <c r="L26">
        <v>6</v>
      </c>
      <c r="M26" t="s">
        <v>60</v>
      </c>
      <c r="N26" t="s">
        <v>810</v>
      </c>
      <c r="O26" t="s">
        <v>811</v>
      </c>
      <c r="P26" t="s">
        <v>63</v>
      </c>
      <c r="Q26" t="s">
        <v>204</v>
      </c>
      <c r="R26" t="s">
        <v>65</v>
      </c>
      <c r="S26" t="s">
        <v>66</v>
      </c>
      <c r="T26" t="s">
        <v>118</v>
      </c>
      <c r="U26" t="s">
        <v>397</v>
      </c>
      <c r="V26" t="s">
        <v>397</v>
      </c>
      <c r="W26">
        <v>42875</v>
      </c>
      <c r="X26">
        <v>42345</v>
      </c>
      <c r="Y26">
        <v>530</v>
      </c>
      <c r="Z26">
        <v>4954</v>
      </c>
      <c r="AA26" t="s">
        <v>70</v>
      </c>
      <c r="AC26" t="s">
        <v>71</v>
      </c>
      <c r="AD26" t="s">
        <v>95</v>
      </c>
      <c r="AE26">
        <v>10</v>
      </c>
      <c r="AF26">
        <v>55</v>
      </c>
      <c r="AG26">
        <v>92</v>
      </c>
      <c r="AH26" t="s">
        <v>96</v>
      </c>
      <c r="AI26">
        <v>79</v>
      </c>
      <c r="AJ26">
        <v>51</v>
      </c>
      <c r="AK26">
        <v>34</v>
      </c>
      <c r="AM26">
        <v>66</v>
      </c>
      <c r="AN26" t="s">
        <v>98</v>
      </c>
      <c r="AO26">
        <v>3</v>
      </c>
      <c r="AP26">
        <v>1</v>
      </c>
      <c r="AQ26" t="s">
        <v>781</v>
      </c>
      <c r="AR26" t="s">
        <v>695</v>
      </c>
      <c r="AS26" t="s">
        <v>98</v>
      </c>
      <c r="AT26" t="s">
        <v>177</v>
      </c>
      <c r="AU26" t="s">
        <v>77</v>
      </c>
      <c r="AV26" t="s">
        <v>147</v>
      </c>
    </row>
    <row r="27" spans="1:49" x14ac:dyDescent="0.25">
      <c r="A27" t="s">
        <v>812</v>
      </c>
      <c r="B27" t="s">
        <v>443</v>
      </c>
      <c r="C27" t="s">
        <v>813</v>
      </c>
      <c r="D27" t="s">
        <v>130</v>
      </c>
      <c r="E27" t="s">
        <v>814</v>
      </c>
      <c r="F27" t="s">
        <v>815</v>
      </c>
      <c r="G27" t="s">
        <v>816</v>
      </c>
      <c r="H27" t="s">
        <v>57</v>
      </c>
      <c r="I27">
        <v>75</v>
      </c>
      <c r="J27" t="s">
        <v>817</v>
      </c>
      <c r="K27" t="s">
        <v>294</v>
      </c>
      <c r="L27">
        <v>3</v>
      </c>
      <c r="M27" t="s">
        <v>89</v>
      </c>
      <c r="N27" t="s">
        <v>201</v>
      </c>
      <c r="O27" t="s">
        <v>202</v>
      </c>
      <c r="P27" t="s">
        <v>63</v>
      </c>
      <c r="Q27" t="s">
        <v>116</v>
      </c>
      <c r="R27" t="s">
        <v>140</v>
      </c>
      <c r="S27" t="s">
        <v>141</v>
      </c>
      <c r="T27" t="s">
        <v>118</v>
      </c>
      <c r="U27" t="s">
        <v>333</v>
      </c>
      <c r="V27" t="s">
        <v>94</v>
      </c>
      <c r="W27">
        <v>42522</v>
      </c>
      <c r="X27">
        <v>40345</v>
      </c>
      <c r="Y27">
        <v>2177</v>
      </c>
      <c r="Z27">
        <v>4432</v>
      </c>
      <c r="AA27" t="s">
        <v>98</v>
      </c>
      <c r="AB27" t="s">
        <v>766</v>
      </c>
      <c r="AC27" t="s">
        <v>71</v>
      </c>
      <c r="AD27" t="s">
        <v>95</v>
      </c>
      <c r="AE27">
        <v>3</v>
      </c>
      <c r="AF27">
        <v>90</v>
      </c>
      <c r="AG27">
        <v>91</v>
      </c>
      <c r="AH27" t="s">
        <v>234</v>
      </c>
      <c r="AI27">
        <v>95</v>
      </c>
      <c r="AJ27">
        <v>45</v>
      </c>
      <c r="AK27">
        <v>45</v>
      </c>
      <c r="AL27" t="s">
        <v>122</v>
      </c>
      <c r="AM27">
        <v>100</v>
      </c>
      <c r="AN27" t="s">
        <v>98</v>
      </c>
      <c r="AO27">
        <v>4</v>
      </c>
      <c r="AP27">
        <v>4</v>
      </c>
      <c r="AQ27" t="s">
        <v>74</v>
      </c>
      <c r="AR27" t="s">
        <v>171</v>
      </c>
      <c r="AS27" t="s">
        <v>98</v>
      </c>
      <c r="AT27" t="s">
        <v>177</v>
      </c>
      <c r="AU27" t="s">
        <v>77</v>
      </c>
      <c r="AV27" t="s">
        <v>147</v>
      </c>
    </row>
    <row r="28" spans="1:49" x14ac:dyDescent="0.25">
      <c r="A28" t="s">
        <v>818</v>
      </c>
      <c r="B28" t="s">
        <v>194</v>
      </c>
      <c r="C28" t="s">
        <v>819</v>
      </c>
      <c r="D28" t="s">
        <v>106</v>
      </c>
      <c r="E28" t="s">
        <v>820</v>
      </c>
      <c r="F28" t="s">
        <v>821</v>
      </c>
      <c r="G28" t="s">
        <v>822</v>
      </c>
      <c r="H28" t="s">
        <v>1393</v>
      </c>
      <c r="I28">
        <v>83</v>
      </c>
      <c r="J28" t="s">
        <v>823</v>
      </c>
      <c r="K28" t="s">
        <v>111</v>
      </c>
      <c r="L28">
        <v>6</v>
      </c>
      <c r="M28" t="s">
        <v>60</v>
      </c>
      <c r="N28" t="s">
        <v>824</v>
      </c>
      <c r="O28" t="s">
        <v>825</v>
      </c>
      <c r="P28" t="s">
        <v>384</v>
      </c>
      <c r="Q28" t="s">
        <v>116</v>
      </c>
      <c r="R28" t="s">
        <v>65</v>
      </c>
      <c r="S28" t="s">
        <v>232</v>
      </c>
      <c r="T28" t="s">
        <v>205</v>
      </c>
      <c r="U28" t="s">
        <v>176</v>
      </c>
      <c r="V28" t="s">
        <v>176</v>
      </c>
      <c r="W28">
        <v>15553</v>
      </c>
      <c r="X28">
        <v>13040</v>
      </c>
      <c r="Y28">
        <v>2513</v>
      </c>
      <c r="Z28">
        <v>3819</v>
      </c>
      <c r="AA28" t="s">
        <v>98</v>
      </c>
      <c r="AB28" t="s">
        <v>159</v>
      </c>
      <c r="AC28" t="s">
        <v>71</v>
      </c>
      <c r="AD28" t="s">
        <v>121</v>
      </c>
      <c r="AE28">
        <v>7</v>
      </c>
      <c r="AF28">
        <v>42</v>
      </c>
      <c r="AG28">
        <v>93</v>
      </c>
      <c r="AH28" t="s">
        <v>96</v>
      </c>
      <c r="AI28">
        <v>69</v>
      </c>
      <c r="AJ28">
        <v>59</v>
      </c>
      <c r="AK28">
        <v>17</v>
      </c>
      <c r="AL28" t="s">
        <v>97</v>
      </c>
      <c r="AM28">
        <v>28</v>
      </c>
      <c r="AN28" t="s">
        <v>98</v>
      </c>
      <c r="AO28">
        <v>3</v>
      </c>
      <c r="AP28">
        <v>3</v>
      </c>
      <c r="AQ28" t="s">
        <v>429</v>
      </c>
      <c r="AR28" t="s">
        <v>407</v>
      </c>
      <c r="AS28" t="s">
        <v>98</v>
      </c>
      <c r="AT28" t="s">
        <v>76</v>
      </c>
      <c r="AU28" t="s">
        <v>160</v>
      </c>
      <c r="AV28" t="s">
        <v>147</v>
      </c>
    </row>
    <row r="29" spans="1:49" x14ac:dyDescent="0.25">
      <c r="A29" t="s">
        <v>826</v>
      </c>
      <c r="B29" t="s">
        <v>1382</v>
      </c>
      <c r="C29" t="s">
        <v>827</v>
      </c>
      <c r="D29" t="s">
        <v>106</v>
      </c>
      <c r="E29" t="s">
        <v>828</v>
      </c>
      <c r="F29" t="s">
        <v>829</v>
      </c>
      <c r="G29" t="s">
        <v>830</v>
      </c>
      <c r="H29" t="s">
        <v>87</v>
      </c>
      <c r="I29">
        <v>63</v>
      </c>
      <c r="J29" t="s">
        <v>831</v>
      </c>
      <c r="K29" t="s">
        <v>294</v>
      </c>
      <c r="L29">
        <v>6</v>
      </c>
      <c r="M29" t="s">
        <v>112</v>
      </c>
      <c r="N29" t="s">
        <v>832</v>
      </c>
      <c r="O29" t="s">
        <v>833</v>
      </c>
      <c r="P29" t="s">
        <v>203</v>
      </c>
      <c r="Q29" t="s">
        <v>116</v>
      </c>
      <c r="R29" t="s">
        <v>140</v>
      </c>
      <c r="S29" t="s">
        <v>141</v>
      </c>
      <c r="T29" t="s">
        <v>205</v>
      </c>
      <c r="U29" t="s">
        <v>170</v>
      </c>
      <c r="V29" t="s">
        <v>298</v>
      </c>
      <c r="W29">
        <v>44415</v>
      </c>
      <c r="X29">
        <v>41446</v>
      </c>
      <c r="Y29">
        <v>2969</v>
      </c>
      <c r="Z29">
        <v>3247</v>
      </c>
      <c r="AA29" t="s">
        <v>70</v>
      </c>
      <c r="AC29" t="s">
        <v>71</v>
      </c>
      <c r="AD29" t="s">
        <v>72</v>
      </c>
      <c r="AE29">
        <v>8</v>
      </c>
      <c r="AF29">
        <v>48</v>
      </c>
      <c r="AG29">
        <v>60</v>
      </c>
      <c r="AH29" t="s">
        <v>234</v>
      </c>
      <c r="AI29">
        <v>63</v>
      </c>
      <c r="AJ29">
        <v>55</v>
      </c>
      <c r="AK29">
        <v>29</v>
      </c>
      <c r="AM29">
        <v>52</v>
      </c>
      <c r="AN29" t="s">
        <v>98</v>
      </c>
      <c r="AO29">
        <v>2</v>
      </c>
      <c r="AP29">
        <v>4</v>
      </c>
      <c r="AQ29" t="s">
        <v>333</v>
      </c>
      <c r="AR29" t="s">
        <v>727</v>
      </c>
      <c r="AS29" t="s">
        <v>98</v>
      </c>
      <c r="AT29" t="s">
        <v>177</v>
      </c>
      <c r="AU29" t="s">
        <v>160</v>
      </c>
      <c r="AV29" t="s">
        <v>78</v>
      </c>
      <c r="AW29" t="s">
        <v>276</v>
      </c>
    </row>
    <row r="30" spans="1:49" x14ac:dyDescent="0.25">
      <c r="A30" t="s">
        <v>834</v>
      </c>
      <c r="B30" t="s">
        <v>1383</v>
      </c>
      <c r="C30" t="s">
        <v>835</v>
      </c>
      <c r="D30" t="s">
        <v>130</v>
      </c>
      <c r="E30" t="s">
        <v>836</v>
      </c>
      <c r="F30" t="s">
        <v>837</v>
      </c>
      <c r="G30" t="s">
        <v>838</v>
      </c>
      <c r="H30" t="s">
        <v>57</v>
      </c>
      <c r="I30">
        <v>63</v>
      </c>
      <c r="J30" t="s">
        <v>839</v>
      </c>
      <c r="K30" t="s">
        <v>59</v>
      </c>
      <c r="L30">
        <v>12</v>
      </c>
      <c r="M30" t="s">
        <v>60</v>
      </c>
      <c r="N30" t="s">
        <v>286</v>
      </c>
      <c r="O30" t="s">
        <v>840</v>
      </c>
      <c r="P30" t="s">
        <v>63</v>
      </c>
      <c r="Q30" t="s">
        <v>64</v>
      </c>
      <c r="R30" t="s">
        <v>65</v>
      </c>
      <c r="S30" t="s">
        <v>117</v>
      </c>
      <c r="T30" t="s">
        <v>205</v>
      </c>
      <c r="U30" t="s">
        <v>156</v>
      </c>
      <c r="V30" t="s">
        <v>535</v>
      </c>
      <c r="W30">
        <v>28843</v>
      </c>
      <c r="X30">
        <v>27816</v>
      </c>
      <c r="Y30">
        <v>1027</v>
      </c>
      <c r="Z30">
        <v>2145</v>
      </c>
      <c r="AA30" t="s">
        <v>98</v>
      </c>
      <c r="AB30" t="s">
        <v>551</v>
      </c>
      <c r="AC30" t="s">
        <v>71</v>
      </c>
      <c r="AD30" t="s">
        <v>72</v>
      </c>
      <c r="AE30">
        <v>4</v>
      </c>
      <c r="AF30">
        <v>87</v>
      </c>
      <c r="AG30">
        <v>89</v>
      </c>
      <c r="AH30" t="s">
        <v>234</v>
      </c>
      <c r="AI30">
        <v>78</v>
      </c>
      <c r="AJ30">
        <v>58</v>
      </c>
      <c r="AK30">
        <v>34</v>
      </c>
      <c r="AL30" t="s">
        <v>122</v>
      </c>
      <c r="AM30">
        <v>58</v>
      </c>
      <c r="AN30" t="s">
        <v>70</v>
      </c>
      <c r="AO30">
        <v>1</v>
      </c>
      <c r="AP30">
        <v>1</v>
      </c>
      <c r="AQ30" t="s">
        <v>475</v>
      </c>
      <c r="AR30" t="s">
        <v>362</v>
      </c>
      <c r="AS30" t="s">
        <v>70</v>
      </c>
      <c r="AT30" t="s">
        <v>125</v>
      </c>
      <c r="AU30" t="s">
        <v>77</v>
      </c>
      <c r="AV30" t="s">
        <v>78</v>
      </c>
      <c r="AW30" t="s">
        <v>276</v>
      </c>
    </row>
    <row r="31" spans="1:49" x14ac:dyDescent="0.25">
      <c r="A31" t="s">
        <v>841</v>
      </c>
      <c r="B31" t="s">
        <v>1384</v>
      </c>
      <c r="C31" t="s">
        <v>842</v>
      </c>
      <c r="D31" t="s">
        <v>106</v>
      </c>
      <c r="E31" t="s">
        <v>843</v>
      </c>
      <c r="F31" t="s">
        <v>844</v>
      </c>
      <c r="G31" t="s">
        <v>845</v>
      </c>
      <c r="H31" t="s">
        <v>135</v>
      </c>
      <c r="I31">
        <v>85</v>
      </c>
      <c r="J31" t="s">
        <v>846</v>
      </c>
      <c r="K31" t="s">
        <v>59</v>
      </c>
      <c r="L31">
        <v>3</v>
      </c>
      <c r="M31" t="s">
        <v>112</v>
      </c>
      <c r="N31" t="s">
        <v>439</v>
      </c>
      <c r="O31" t="s">
        <v>362</v>
      </c>
      <c r="P31" t="s">
        <v>92</v>
      </c>
      <c r="Q31" t="s">
        <v>116</v>
      </c>
      <c r="R31" t="s">
        <v>65</v>
      </c>
      <c r="S31" t="s">
        <v>219</v>
      </c>
      <c r="T31" t="s">
        <v>205</v>
      </c>
      <c r="U31" t="s">
        <v>100</v>
      </c>
      <c r="V31" t="s">
        <v>120</v>
      </c>
      <c r="W31">
        <v>41233</v>
      </c>
      <c r="X31">
        <v>40131</v>
      </c>
      <c r="Y31">
        <v>1102</v>
      </c>
      <c r="Z31">
        <v>1170</v>
      </c>
      <c r="AA31" t="s">
        <v>70</v>
      </c>
      <c r="AC31" t="s">
        <v>71</v>
      </c>
      <c r="AD31" t="s">
        <v>121</v>
      </c>
      <c r="AE31">
        <v>9</v>
      </c>
      <c r="AF31">
        <v>66</v>
      </c>
      <c r="AG31">
        <v>99</v>
      </c>
      <c r="AH31" t="s">
        <v>234</v>
      </c>
      <c r="AI31">
        <v>75</v>
      </c>
      <c r="AJ31">
        <v>28</v>
      </c>
      <c r="AK31">
        <v>24</v>
      </c>
      <c r="AL31" t="s">
        <v>97</v>
      </c>
      <c r="AM31">
        <v>85</v>
      </c>
      <c r="AN31" t="s">
        <v>70</v>
      </c>
      <c r="AO31">
        <v>4</v>
      </c>
      <c r="AP31">
        <v>3</v>
      </c>
      <c r="AQ31" t="s">
        <v>687</v>
      </c>
      <c r="AR31" t="s">
        <v>789</v>
      </c>
      <c r="AS31" t="s">
        <v>98</v>
      </c>
      <c r="AT31" t="s">
        <v>125</v>
      </c>
      <c r="AU31" t="s">
        <v>77</v>
      </c>
      <c r="AV31" t="s">
        <v>147</v>
      </c>
    </row>
    <row r="32" spans="1:49" x14ac:dyDescent="0.25">
      <c r="A32" t="s">
        <v>847</v>
      </c>
      <c r="B32" t="s">
        <v>554</v>
      </c>
      <c r="C32" t="s">
        <v>848</v>
      </c>
      <c r="D32" t="s">
        <v>130</v>
      </c>
      <c r="E32" t="s">
        <v>849</v>
      </c>
      <c r="F32" t="s">
        <v>850</v>
      </c>
      <c r="G32" t="s">
        <v>851</v>
      </c>
      <c r="H32" t="s">
        <v>87</v>
      </c>
      <c r="I32">
        <v>62</v>
      </c>
      <c r="J32" t="s">
        <v>852</v>
      </c>
      <c r="K32" t="s">
        <v>294</v>
      </c>
      <c r="L32">
        <v>6</v>
      </c>
      <c r="M32" t="s">
        <v>112</v>
      </c>
      <c r="N32" t="s">
        <v>484</v>
      </c>
      <c r="O32" t="s">
        <v>853</v>
      </c>
      <c r="P32" t="s">
        <v>320</v>
      </c>
      <c r="Q32" t="s">
        <v>64</v>
      </c>
      <c r="R32" t="s">
        <v>140</v>
      </c>
      <c r="S32" t="s">
        <v>219</v>
      </c>
      <c r="T32" t="s">
        <v>67</v>
      </c>
      <c r="U32" t="s">
        <v>261</v>
      </c>
      <c r="V32" t="s">
        <v>426</v>
      </c>
      <c r="W32">
        <v>19610</v>
      </c>
      <c r="X32">
        <v>17405</v>
      </c>
      <c r="Y32">
        <v>2205</v>
      </c>
      <c r="Z32">
        <v>2990</v>
      </c>
      <c r="AA32" t="s">
        <v>98</v>
      </c>
      <c r="AB32" t="s">
        <v>217</v>
      </c>
      <c r="AC32" t="s">
        <v>71</v>
      </c>
      <c r="AD32" t="s">
        <v>121</v>
      </c>
      <c r="AE32">
        <v>4</v>
      </c>
      <c r="AF32">
        <v>40</v>
      </c>
      <c r="AG32">
        <v>92</v>
      </c>
      <c r="AH32" t="s">
        <v>234</v>
      </c>
      <c r="AI32">
        <v>62</v>
      </c>
      <c r="AJ32">
        <v>22</v>
      </c>
      <c r="AK32">
        <v>15</v>
      </c>
      <c r="AL32" t="s">
        <v>122</v>
      </c>
      <c r="AM32">
        <v>68</v>
      </c>
      <c r="AN32" t="s">
        <v>70</v>
      </c>
      <c r="AO32">
        <v>1</v>
      </c>
      <c r="AP32">
        <v>4</v>
      </c>
      <c r="AQ32" t="s">
        <v>274</v>
      </c>
      <c r="AR32" t="s">
        <v>854</v>
      </c>
      <c r="AS32" t="s">
        <v>98</v>
      </c>
      <c r="AT32" t="s">
        <v>125</v>
      </c>
      <c r="AU32" t="s">
        <v>126</v>
      </c>
      <c r="AV32" t="s">
        <v>147</v>
      </c>
    </row>
    <row r="33" spans="1:49" x14ac:dyDescent="0.25">
      <c r="A33" t="s">
        <v>855</v>
      </c>
      <c r="B33" t="s">
        <v>377</v>
      </c>
      <c r="C33" t="s">
        <v>856</v>
      </c>
      <c r="D33" t="s">
        <v>52</v>
      </c>
      <c r="E33" t="s">
        <v>857</v>
      </c>
      <c r="F33" t="s">
        <v>858</v>
      </c>
      <c r="G33" t="s">
        <v>859</v>
      </c>
      <c r="H33" t="s">
        <v>87</v>
      </c>
      <c r="I33">
        <v>95</v>
      </c>
      <c r="J33" t="s">
        <v>860</v>
      </c>
      <c r="K33" t="s">
        <v>59</v>
      </c>
      <c r="L33">
        <v>3</v>
      </c>
      <c r="M33" t="s">
        <v>112</v>
      </c>
      <c r="N33" t="s">
        <v>295</v>
      </c>
      <c r="O33" t="s">
        <v>176</v>
      </c>
      <c r="P33" t="s">
        <v>384</v>
      </c>
      <c r="Q33" t="s">
        <v>116</v>
      </c>
      <c r="R33" t="s">
        <v>65</v>
      </c>
      <c r="S33" t="s">
        <v>232</v>
      </c>
      <c r="T33" t="s">
        <v>273</v>
      </c>
      <c r="U33" t="s">
        <v>143</v>
      </c>
      <c r="V33" t="s">
        <v>415</v>
      </c>
      <c r="W33">
        <v>27420</v>
      </c>
      <c r="X33">
        <v>25321</v>
      </c>
      <c r="Y33">
        <v>2099</v>
      </c>
      <c r="Z33">
        <v>4452</v>
      </c>
      <c r="AA33" t="s">
        <v>98</v>
      </c>
      <c r="AB33" t="s">
        <v>310</v>
      </c>
      <c r="AC33" t="s">
        <v>71</v>
      </c>
      <c r="AD33" t="s">
        <v>72</v>
      </c>
      <c r="AE33">
        <v>7</v>
      </c>
      <c r="AF33">
        <v>84</v>
      </c>
      <c r="AG33">
        <v>84</v>
      </c>
      <c r="AH33" t="s">
        <v>234</v>
      </c>
      <c r="AI33">
        <v>86</v>
      </c>
      <c r="AJ33">
        <v>34</v>
      </c>
      <c r="AK33">
        <v>28</v>
      </c>
      <c r="AL33" t="s">
        <v>122</v>
      </c>
      <c r="AM33">
        <v>82</v>
      </c>
      <c r="AN33" t="s">
        <v>98</v>
      </c>
      <c r="AO33">
        <v>1</v>
      </c>
      <c r="AP33">
        <v>3</v>
      </c>
      <c r="AQ33" t="s">
        <v>825</v>
      </c>
      <c r="AR33" t="s">
        <v>789</v>
      </c>
      <c r="AS33" t="s">
        <v>70</v>
      </c>
      <c r="AT33" t="s">
        <v>125</v>
      </c>
      <c r="AU33" t="s">
        <v>160</v>
      </c>
      <c r="AV33" t="s">
        <v>147</v>
      </c>
    </row>
    <row r="34" spans="1:49" x14ac:dyDescent="0.25">
      <c r="A34" t="s">
        <v>861</v>
      </c>
      <c r="B34" t="s">
        <v>1385</v>
      </c>
      <c r="C34" t="s">
        <v>862</v>
      </c>
      <c r="D34" t="s">
        <v>106</v>
      </c>
      <c r="E34" t="s">
        <v>863</v>
      </c>
      <c r="F34" t="s">
        <v>864</v>
      </c>
      <c r="G34" t="s">
        <v>865</v>
      </c>
      <c r="H34" t="s">
        <v>1393</v>
      </c>
      <c r="I34">
        <v>62</v>
      </c>
      <c r="J34" t="s">
        <v>866</v>
      </c>
      <c r="K34" t="s">
        <v>111</v>
      </c>
      <c r="L34">
        <v>12</v>
      </c>
      <c r="M34" t="s">
        <v>60</v>
      </c>
      <c r="N34" t="s">
        <v>824</v>
      </c>
      <c r="O34" t="s">
        <v>867</v>
      </c>
      <c r="P34" t="s">
        <v>259</v>
      </c>
      <c r="Q34" t="s">
        <v>116</v>
      </c>
      <c r="R34" t="s">
        <v>140</v>
      </c>
      <c r="S34" t="s">
        <v>219</v>
      </c>
      <c r="T34" t="s">
        <v>142</v>
      </c>
      <c r="U34" t="s">
        <v>143</v>
      </c>
      <c r="V34" t="s">
        <v>696</v>
      </c>
      <c r="W34">
        <v>15888</v>
      </c>
      <c r="X34">
        <v>15810</v>
      </c>
      <c r="Y34">
        <v>78</v>
      </c>
      <c r="Z34">
        <v>616</v>
      </c>
      <c r="AA34" t="s">
        <v>98</v>
      </c>
      <c r="AB34" t="s">
        <v>310</v>
      </c>
      <c r="AC34" t="s">
        <v>71</v>
      </c>
      <c r="AD34" t="s">
        <v>191</v>
      </c>
      <c r="AE34">
        <v>3</v>
      </c>
      <c r="AF34">
        <v>68</v>
      </c>
      <c r="AG34">
        <v>90</v>
      </c>
      <c r="AH34" t="s">
        <v>96</v>
      </c>
      <c r="AI34">
        <v>96</v>
      </c>
      <c r="AJ34">
        <v>22</v>
      </c>
      <c r="AK34">
        <v>19</v>
      </c>
      <c r="AL34" t="s">
        <v>97</v>
      </c>
      <c r="AM34">
        <v>86</v>
      </c>
      <c r="AN34" t="s">
        <v>98</v>
      </c>
      <c r="AO34">
        <v>1</v>
      </c>
      <c r="AP34">
        <v>3</v>
      </c>
      <c r="AQ34" t="s">
        <v>868</v>
      </c>
      <c r="AR34" t="s">
        <v>729</v>
      </c>
      <c r="AS34" t="s">
        <v>70</v>
      </c>
      <c r="AT34" t="s">
        <v>76</v>
      </c>
      <c r="AU34" t="s">
        <v>126</v>
      </c>
      <c r="AV34" t="s">
        <v>78</v>
      </c>
      <c r="AW34" t="s">
        <v>276</v>
      </c>
    </row>
    <row r="35" spans="1:49" x14ac:dyDescent="0.25">
      <c r="A35" t="s">
        <v>869</v>
      </c>
      <c r="B35" t="s">
        <v>544</v>
      </c>
      <c r="C35" t="s">
        <v>870</v>
      </c>
      <c r="D35" t="s">
        <v>106</v>
      </c>
      <c r="E35" t="s">
        <v>871</v>
      </c>
      <c r="F35" t="s">
        <v>872</v>
      </c>
      <c r="G35" t="s">
        <v>873</v>
      </c>
      <c r="H35" t="s">
        <v>1392</v>
      </c>
      <c r="I35">
        <v>64</v>
      </c>
      <c r="J35" t="s">
        <v>874</v>
      </c>
      <c r="K35" t="s">
        <v>242</v>
      </c>
      <c r="L35">
        <v>12</v>
      </c>
      <c r="M35" t="s">
        <v>89</v>
      </c>
      <c r="N35" t="s">
        <v>173</v>
      </c>
      <c r="O35" t="s">
        <v>875</v>
      </c>
      <c r="P35" t="s">
        <v>92</v>
      </c>
      <c r="Q35" t="s">
        <v>116</v>
      </c>
      <c r="R35" t="s">
        <v>140</v>
      </c>
      <c r="S35" t="s">
        <v>117</v>
      </c>
      <c r="T35" t="s">
        <v>67</v>
      </c>
      <c r="U35" t="s">
        <v>174</v>
      </c>
      <c r="V35" t="s">
        <v>385</v>
      </c>
      <c r="W35">
        <v>19311</v>
      </c>
      <c r="X35">
        <v>16449</v>
      </c>
      <c r="Y35">
        <v>2862</v>
      </c>
      <c r="Z35">
        <v>4409</v>
      </c>
      <c r="AA35" t="s">
        <v>98</v>
      </c>
      <c r="AB35" t="s">
        <v>352</v>
      </c>
      <c r="AC35" t="s">
        <v>71</v>
      </c>
      <c r="AD35" t="s">
        <v>95</v>
      </c>
      <c r="AE35">
        <v>6</v>
      </c>
      <c r="AF35">
        <v>57</v>
      </c>
      <c r="AG35">
        <v>99</v>
      </c>
      <c r="AH35" t="s">
        <v>73</v>
      </c>
      <c r="AI35">
        <v>78</v>
      </c>
      <c r="AJ35">
        <v>37</v>
      </c>
      <c r="AK35">
        <v>21</v>
      </c>
      <c r="AM35">
        <v>56</v>
      </c>
      <c r="AN35" t="s">
        <v>98</v>
      </c>
      <c r="AO35">
        <v>2</v>
      </c>
      <c r="AP35">
        <v>3</v>
      </c>
      <c r="AQ35" t="s">
        <v>144</v>
      </c>
      <c r="AR35" t="s">
        <v>876</v>
      </c>
      <c r="AS35" t="s">
        <v>70</v>
      </c>
      <c r="AT35" t="s">
        <v>101</v>
      </c>
      <c r="AU35" t="s">
        <v>126</v>
      </c>
      <c r="AV35" t="s">
        <v>78</v>
      </c>
      <c r="AW35" t="s">
        <v>79</v>
      </c>
    </row>
    <row r="36" spans="1:49" x14ac:dyDescent="0.25">
      <c r="A36" t="s">
        <v>877</v>
      </c>
      <c r="B36" t="s">
        <v>569</v>
      </c>
      <c r="C36" t="s">
        <v>878</v>
      </c>
      <c r="D36" t="s">
        <v>130</v>
      </c>
      <c r="E36" t="s">
        <v>879</v>
      </c>
      <c r="F36" t="s">
        <v>880</v>
      </c>
      <c r="G36" t="s">
        <v>881</v>
      </c>
      <c r="H36" t="s">
        <v>87</v>
      </c>
      <c r="I36">
        <v>68</v>
      </c>
      <c r="J36" t="s">
        <v>882</v>
      </c>
      <c r="K36" t="s">
        <v>294</v>
      </c>
      <c r="L36">
        <v>12</v>
      </c>
      <c r="M36" t="s">
        <v>89</v>
      </c>
      <c r="N36" t="s">
        <v>883</v>
      </c>
      <c r="O36" t="s">
        <v>884</v>
      </c>
      <c r="P36" t="s">
        <v>188</v>
      </c>
      <c r="Q36" t="s">
        <v>204</v>
      </c>
      <c r="R36" t="s">
        <v>140</v>
      </c>
      <c r="S36" t="s">
        <v>66</v>
      </c>
      <c r="T36" t="s">
        <v>205</v>
      </c>
      <c r="U36" t="s">
        <v>94</v>
      </c>
      <c r="V36" t="s">
        <v>502</v>
      </c>
      <c r="W36">
        <v>20458</v>
      </c>
      <c r="X36">
        <v>19978</v>
      </c>
      <c r="Y36">
        <v>480</v>
      </c>
      <c r="Z36">
        <v>2660</v>
      </c>
      <c r="AA36" t="s">
        <v>70</v>
      </c>
      <c r="AC36" t="s">
        <v>71</v>
      </c>
      <c r="AD36" t="s">
        <v>72</v>
      </c>
      <c r="AE36">
        <v>3</v>
      </c>
      <c r="AF36">
        <v>88</v>
      </c>
      <c r="AG36">
        <v>93</v>
      </c>
      <c r="AH36" t="s">
        <v>96</v>
      </c>
      <c r="AI36">
        <v>61</v>
      </c>
      <c r="AJ36">
        <v>35</v>
      </c>
      <c r="AK36">
        <v>19</v>
      </c>
      <c r="AM36">
        <v>54</v>
      </c>
      <c r="AN36" t="s">
        <v>98</v>
      </c>
      <c r="AO36">
        <v>4</v>
      </c>
      <c r="AP36">
        <v>1</v>
      </c>
      <c r="AQ36" t="s">
        <v>362</v>
      </c>
      <c r="AR36" t="s">
        <v>189</v>
      </c>
      <c r="AS36" t="s">
        <v>70</v>
      </c>
      <c r="AT36" t="s">
        <v>177</v>
      </c>
      <c r="AU36" t="s">
        <v>77</v>
      </c>
      <c r="AV36" t="s">
        <v>147</v>
      </c>
    </row>
    <row r="37" spans="1:49" x14ac:dyDescent="0.25">
      <c r="A37" t="s">
        <v>885</v>
      </c>
      <c r="B37" t="s">
        <v>1386</v>
      </c>
      <c r="C37" t="s">
        <v>886</v>
      </c>
      <c r="D37" t="s">
        <v>106</v>
      </c>
      <c r="E37" t="s">
        <v>887</v>
      </c>
      <c r="F37" t="s">
        <v>888</v>
      </c>
      <c r="G37" t="s">
        <v>889</v>
      </c>
      <c r="H37" t="s">
        <v>57</v>
      </c>
      <c r="I37">
        <v>65</v>
      </c>
      <c r="J37" t="s">
        <v>890</v>
      </c>
      <c r="K37" t="s">
        <v>294</v>
      </c>
      <c r="L37">
        <v>12</v>
      </c>
      <c r="M37" t="s">
        <v>112</v>
      </c>
      <c r="N37" t="s">
        <v>208</v>
      </c>
      <c r="O37" t="s">
        <v>891</v>
      </c>
      <c r="P37" t="s">
        <v>92</v>
      </c>
      <c r="Q37" t="s">
        <v>204</v>
      </c>
      <c r="R37" t="s">
        <v>65</v>
      </c>
      <c r="S37" t="s">
        <v>66</v>
      </c>
      <c r="T37" t="s">
        <v>118</v>
      </c>
      <c r="U37" t="s">
        <v>892</v>
      </c>
      <c r="V37" t="s">
        <v>306</v>
      </c>
      <c r="W37">
        <v>29622</v>
      </c>
      <c r="X37">
        <v>29427</v>
      </c>
      <c r="Y37">
        <v>195</v>
      </c>
      <c r="Z37">
        <v>1746</v>
      </c>
      <c r="AA37" t="s">
        <v>70</v>
      </c>
      <c r="AC37" t="s">
        <v>71</v>
      </c>
      <c r="AD37" t="s">
        <v>191</v>
      </c>
      <c r="AE37">
        <v>2</v>
      </c>
      <c r="AF37">
        <v>58</v>
      </c>
      <c r="AG37">
        <v>94</v>
      </c>
      <c r="AH37" t="s">
        <v>73</v>
      </c>
      <c r="AI37">
        <v>64</v>
      </c>
      <c r="AJ37">
        <v>52</v>
      </c>
      <c r="AK37">
        <v>26</v>
      </c>
      <c r="AL37" t="s">
        <v>97</v>
      </c>
      <c r="AM37">
        <v>50</v>
      </c>
      <c r="AN37" t="s">
        <v>98</v>
      </c>
      <c r="AO37">
        <v>3</v>
      </c>
      <c r="AP37">
        <v>5</v>
      </c>
      <c r="AQ37" t="s">
        <v>766</v>
      </c>
      <c r="AR37" t="s">
        <v>876</v>
      </c>
      <c r="AS37" t="s">
        <v>70</v>
      </c>
      <c r="AT37" t="s">
        <v>177</v>
      </c>
      <c r="AU37" t="s">
        <v>160</v>
      </c>
      <c r="AV37" t="s">
        <v>147</v>
      </c>
    </row>
    <row r="38" spans="1:49" x14ac:dyDescent="0.25">
      <c r="A38" t="s">
        <v>893</v>
      </c>
      <c r="B38" t="s">
        <v>894</v>
      </c>
      <c r="C38" t="s">
        <v>895</v>
      </c>
      <c r="D38" t="s">
        <v>106</v>
      </c>
      <c r="E38" t="s">
        <v>896</v>
      </c>
      <c r="F38" t="s">
        <v>897</v>
      </c>
      <c r="G38" t="s">
        <v>898</v>
      </c>
      <c r="H38" t="s">
        <v>1392</v>
      </c>
      <c r="I38">
        <v>93</v>
      </c>
      <c r="J38" t="s">
        <v>899</v>
      </c>
      <c r="K38" t="s">
        <v>59</v>
      </c>
      <c r="L38">
        <v>3</v>
      </c>
      <c r="M38" t="s">
        <v>112</v>
      </c>
      <c r="N38" t="s">
        <v>535</v>
      </c>
      <c r="O38" t="s">
        <v>143</v>
      </c>
      <c r="P38" t="s">
        <v>550</v>
      </c>
      <c r="Q38" t="s">
        <v>116</v>
      </c>
      <c r="R38" t="s">
        <v>65</v>
      </c>
      <c r="S38" t="s">
        <v>66</v>
      </c>
      <c r="T38" t="s">
        <v>67</v>
      </c>
      <c r="U38" t="s">
        <v>476</v>
      </c>
      <c r="V38" t="s">
        <v>175</v>
      </c>
      <c r="W38">
        <v>25776</v>
      </c>
      <c r="X38">
        <v>25030</v>
      </c>
      <c r="Y38">
        <v>746</v>
      </c>
      <c r="Z38">
        <v>2823</v>
      </c>
      <c r="AA38" t="s">
        <v>70</v>
      </c>
      <c r="AC38" t="s">
        <v>71</v>
      </c>
      <c r="AD38" t="s">
        <v>72</v>
      </c>
      <c r="AE38">
        <v>8</v>
      </c>
      <c r="AF38">
        <v>42</v>
      </c>
      <c r="AG38">
        <v>95</v>
      </c>
      <c r="AH38" t="s">
        <v>234</v>
      </c>
      <c r="AI38">
        <v>82</v>
      </c>
      <c r="AJ38">
        <v>32</v>
      </c>
      <c r="AK38">
        <v>32</v>
      </c>
      <c r="AL38" t="s">
        <v>97</v>
      </c>
      <c r="AM38">
        <v>100</v>
      </c>
      <c r="AN38" t="s">
        <v>70</v>
      </c>
      <c r="AO38">
        <v>2</v>
      </c>
      <c r="AP38">
        <v>4</v>
      </c>
      <c r="AQ38" t="s">
        <v>397</v>
      </c>
      <c r="AR38" t="s">
        <v>900</v>
      </c>
      <c r="AS38" t="s">
        <v>70</v>
      </c>
      <c r="AT38" t="s">
        <v>76</v>
      </c>
      <c r="AU38" t="s">
        <v>160</v>
      </c>
      <c r="AV38" t="s">
        <v>78</v>
      </c>
      <c r="AW38" t="s">
        <v>79</v>
      </c>
    </row>
    <row r="39" spans="1:49" x14ac:dyDescent="0.25">
      <c r="A39" t="s">
        <v>901</v>
      </c>
      <c r="B39" t="s">
        <v>355</v>
      </c>
      <c r="C39" t="s">
        <v>902</v>
      </c>
      <c r="D39" t="s">
        <v>130</v>
      </c>
      <c r="E39" t="s">
        <v>903</v>
      </c>
      <c r="F39" t="s">
        <v>904</v>
      </c>
      <c r="G39" t="s">
        <v>905</v>
      </c>
      <c r="H39" t="s">
        <v>135</v>
      </c>
      <c r="I39">
        <v>88</v>
      </c>
      <c r="J39" t="s">
        <v>906</v>
      </c>
      <c r="K39" t="s">
        <v>59</v>
      </c>
      <c r="L39">
        <v>6</v>
      </c>
      <c r="M39" t="s">
        <v>112</v>
      </c>
      <c r="N39" t="s">
        <v>157</v>
      </c>
      <c r="O39" t="s">
        <v>907</v>
      </c>
      <c r="P39" t="s">
        <v>188</v>
      </c>
      <c r="Q39" t="s">
        <v>204</v>
      </c>
      <c r="R39" t="s">
        <v>140</v>
      </c>
      <c r="S39" t="s">
        <v>232</v>
      </c>
      <c r="T39" t="s">
        <v>273</v>
      </c>
      <c r="U39" t="s">
        <v>467</v>
      </c>
      <c r="V39" t="s">
        <v>263</v>
      </c>
      <c r="W39">
        <v>42342</v>
      </c>
      <c r="X39">
        <v>40311</v>
      </c>
      <c r="Y39">
        <v>2031</v>
      </c>
      <c r="Z39">
        <v>4137</v>
      </c>
      <c r="AA39" t="s">
        <v>98</v>
      </c>
      <c r="AB39" t="s">
        <v>333</v>
      </c>
      <c r="AC39" t="s">
        <v>71</v>
      </c>
      <c r="AD39" t="s">
        <v>121</v>
      </c>
      <c r="AE39">
        <v>6</v>
      </c>
      <c r="AF39">
        <v>48</v>
      </c>
      <c r="AG39">
        <v>86</v>
      </c>
      <c r="AH39" t="s">
        <v>234</v>
      </c>
      <c r="AI39">
        <v>73</v>
      </c>
      <c r="AJ39">
        <v>28</v>
      </c>
      <c r="AK39">
        <v>15</v>
      </c>
      <c r="AL39" t="s">
        <v>122</v>
      </c>
      <c r="AM39">
        <v>53</v>
      </c>
      <c r="AN39" t="s">
        <v>70</v>
      </c>
      <c r="AO39">
        <v>2</v>
      </c>
      <c r="AP39">
        <v>3</v>
      </c>
      <c r="AQ39" t="s">
        <v>397</v>
      </c>
      <c r="AR39" t="s">
        <v>144</v>
      </c>
      <c r="AS39" t="s">
        <v>70</v>
      </c>
      <c r="AT39" t="s">
        <v>287</v>
      </c>
      <c r="AU39" t="s">
        <v>126</v>
      </c>
      <c r="AV39" t="s">
        <v>147</v>
      </c>
    </row>
    <row r="40" spans="1:49" x14ac:dyDescent="0.25">
      <c r="A40" t="s">
        <v>908</v>
      </c>
      <c r="B40" t="s">
        <v>409</v>
      </c>
      <c r="C40" t="s">
        <v>266</v>
      </c>
      <c r="D40" t="s">
        <v>52</v>
      </c>
      <c r="E40" t="s">
        <v>909</v>
      </c>
      <c r="F40" t="s">
        <v>910</v>
      </c>
      <c r="G40" t="s">
        <v>911</v>
      </c>
      <c r="H40" t="s">
        <v>135</v>
      </c>
      <c r="I40">
        <v>67</v>
      </c>
      <c r="J40" t="s">
        <v>912</v>
      </c>
      <c r="K40" t="s">
        <v>294</v>
      </c>
      <c r="L40">
        <v>6</v>
      </c>
      <c r="M40" t="s">
        <v>112</v>
      </c>
      <c r="N40" t="s">
        <v>457</v>
      </c>
      <c r="O40" t="s">
        <v>868</v>
      </c>
      <c r="P40" t="s">
        <v>63</v>
      </c>
      <c r="Q40" t="s">
        <v>204</v>
      </c>
      <c r="R40" t="s">
        <v>140</v>
      </c>
      <c r="S40" t="s">
        <v>232</v>
      </c>
      <c r="T40" t="s">
        <v>67</v>
      </c>
      <c r="U40" t="s">
        <v>566</v>
      </c>
      <c r="V40" t="s">
        <v>502</v>
      </c>
      <c r="W40">
        <v>29354</v>
      </c>
      <c r="X40">
        <v>28991</v>
      </c>
      <c r="Y40">
        <v>363</v>
      </c>
      <c r="Z40">
        <v>2575</v>
      </c>
      <c r="AA40" t="s">
        <v>98</v>
      </c>
      <c r="AB40" t="s">
        <v>120</v>
      </c>
      <c r="AC40" t="s">
        <v>71</v>
      </c>
      <c r="AD40" t="s">
        <v>72</v>
      </c>
      <c r="AE40">
        <v>2</v>
      </c>
      <c r="AF40">
        <v>44</v>
      </c>
      <c r="AG40">
        <v>77</v>
      </c>
      <c r="AH40" t="s">
        <v>234</v>
      </c>
      <c r="AI40">
        <v>96</v>
      </c>
      <c r="AJ40">
        <v>39</v>
      </c>
      <c r="AK40">
        <v>28</v>
      </c>
      <c r="AL40" t="s">
        <v>97</v>
      </c>
      <c r="AM40">
        <v>71</v>
      </c>
      <c r="AN40" t="s">
        <v>70</v>
      </c>
      <c r="AO40">
        <v>1</v>
      </c>
      <c r="AP40">
        <v>4</v>
      </c>
      <c r="AQ40" t="s">
        <v>795</v>
      </c>
      <c r="AR40" t="s">
        <v>342</v>
      </c>
      <c r="AS40" t="s">
        <v>70</v>
      </c>
      <c r="AT40" t="s">
        <v>125</v>
      </c>
      <c r="AU40" t="s">
        <v>77</v>
      </c>
      <c r="AV40" t="s">
        <v>78</v>
      </c>
      <c r="AW40" t="s">
        <v>79</v>
      </c>
    </row>
    <row r="41" spans="1:49" x14ac:dyDescent="0.25">
      <c r="A41" t="s">
        <v>913</v>
      </c>
      <c r="B41" t="s">
        <v>131</v>
      </c>
      <c r="C41" t="s">
        <v>914</v>
      </c>
      <c r="D41" t="s">
        <v>106</v>
      </c>
      <c r="E41" t="s">
        <v>916</v>
      </c>
      <c r="F41" t="s">
        <v>917</v>
      </c>
      <c r="G41" t="s">
        <v>918</v>
      </c>
      <c r="H41" t="s">
        <v>87</v>
      </c>
      <c r="I41">
        <v>64</v>
      </c>
      <c r="J41" t="s">
        <v>919</v>
      </c>
      <c r="K41" t="s">
        <v>111</v>
      </c>
      <c r="L41">
        <v>3</v>
      </c>
      <c r="M41" t="s">
        <v>60</v>
      </c>
      <c r="N41" t="s">
        <v>246</v>
      </c>
      <c r="O41" t="s">
        <v>190</v>
      </c>
      <c r="P41" t="s">
        <v>320</v>
      </c>
      <c r="Q41" t="s">
        <v>64</v>
      </c>
      <c r="R41" t="s">
        <v>65</v>
      </c>
      <c r="S41" t="s">
        <v>141</v>
      </c>
      <c r="T41" t="s">
        <v>118</v>
      </c>
      <c r="U41" t="s">
        <v>170</v>
      </c>
      <c r="V41" t="s">
        <v>332</v>
      </c>
      <c r="W41">
        <v>40169</v>
      </c>
      <c r="X41">
        <v>40126</v>
      </c>
      <c r="Y41">
        <v>43</v>
      </c>
      <c r="Z41">
        <v>745</v>
      </c>
      <c r="AA41" t="s">
        <v>70</v>
      </c>
      <c r="AC41" t="s">
        <v>71</v>
      </c>
      <c r="AD41" t="s">
        <v>121</v>
      </c>
      <c r="AE41">
        <v>8</v>
      </c>
      <c r="AF41">
        <v>59</v>
      </c>
      <c r="AG41">
        <v>62</v>
      </c>
      <c r="AH41" t="s">
        <v>96</v>
      </c>
      <c r="AI41">
        <v>75</v>
      </c>
      <c r="AJ41">
        <v>42</v>
      </c>
      <c r="AK41">
        <v>36</v>
      </c>
      <c r="AL41" t="s">
        <v>97</v>
      </c>
      <c r="AM41">
        <v>85</v>
      </c>
      <c r="AN41" t="s">
        <v>98</v>
      </c>
      <c r="AO41">
        <v>5</v>
      </c>
      <c r="AP41">
        <v>5</v>
      </c>
      <c r="AQ41" t="s">
        <v>352</v>
      </c>
      <c r="AR41" t="s">
        <v>144</v>
      </c>
      <c r="AS41" t="s">
        <v>70</v>
      </c>
      <c r="AT41" t="s">
        <v>76</v>
      </c>
      <c r="AU41" t="s">
        <v>77</v>
      </c>
      <c r="AV41" t="s">
        <v>78</v>
      </c>
      <c r="AW41" t="s">
        <v>276</v>
      </c>
    </row>
    <row r="42" spans="1:49" x14ac:dyDescent="0.25">
      <c r="A42" t="s">
        <v>920</v>
      </c>
      <c r="B42" t="s">
        <v>179</v>
      </c>
      <c r="C42" t="s">
        <v>921</v>
      </c>
      <c r="D42" t="s">
        <v>106</v>
      </c>
      <c r="E42" t="s">
        <v>922</v>
      </c>
      <c r="F42" t="s">
        <v>923</v>
      </c>
      <c r="G42" t="s">
        <v>924</v>
      </c>
      <c r="H42" t="s">
        <v>135</v>
      </c>
      <c r="I42">
        <v>69</v>
      </c>
      <c r="J42" t="s">
        <v>925</v>
      </c>
      <c r="K42" t="s">
        <v>169</v>
      </c>
      <c r="L42">
        <v>3</v>
      </c>
      <c r="M42" t="s">
        <v>89</v>
      </c>
      <c r="N42" t="s">
        <v>137</v>
      </c>
      <c r="O42" t="s">
        <v>926</v>
      </c>
      <c r="P42" t="s">
        <v>320</v>
      </c>
      <c r="Q42" t="s">
        <v>64</v>
      </c>
      <c r="R42" t="s">
        <v>65</v>
      </c>
      <c r="S42" t="s">
        <v>66</v>
      </c>
      <c r="T42" t="s">
        <v>273</v>
      </c>
      <c r="U42" t="s">
        <v>386</v>
      </c>
      <c r="V42" t="s">
        <v>467</v>
      </c>
      <c r="W42">
        <v>43998</v>
      </c>
      <c r="X42">
        <v>41712</v>
      </c>
      <c r="Y42">
        <v>2286</v>
      </c>
      <c r="Z42">
        <v>2947</v>
      </c>
      <c r="AA42" t="s">
        <v>70</v>
      </c>
      <c r="AC42" t="s">
        <v>71</v>
      </c>
      <c r="AD42" t="s">
        <v>72</v>
      </c>
      <c r="AE42">
        <v>4</v>
      </c>
      <c r="AF42">
        <v>45</v>
      </c>
      <c r="AG42">
        <v>86</v>
      </c>
      <c r="AH42" t="s">
        <v>73</v>
      </c>
      <c r="AI42">
        <v>79</v>
      </c>
      <c r="AJ42">
        <v>27</v>
      </c>
      <c r="AK42">
        <v>22</v>
      </c>
      <c r="AL42" t="s">
        <v>122</v>
      </c>
      <c r="AM42">
        <v>81</v>
      </c>
      <c r="AN42" t="s">
        <v>98</v>
      </c>
      <c r="AO42">
        <v>4</v>
      </c>
      <c r="AP42">
        <v>2</v>
      </c>
      <c r="AQ42" t="s">
        <v>727</v>
      </c>
      <c r="AR42" t="s">
        <v>309</v>
      </c>
      <c r="AS42" t="s">
        <v>70</v>
      </c>
      <c r="AT42" t="s">
        <v>287</v>
      </c>
      <c r="AU42" t="s">
        <v>77</v>
      </c>
      <c r="AV42" t="s">
        <v>78</v>
      </c>
      <c r="AW42" t="s">
        <v>102</v>
      </c>
    </row>
    <row r="43" spans="1:49" x14ac:dyDescent="0.25">
      <c r="A43" t="s">
        <v>927</v>
      </c>
      <c r="B43" t="s">
        <v>313</v>
      </c>
      <c r="C43" t="s">
        <v>928</v>
      </c>
      <c r="D43" t="s">
        <v>106</v>
      </c>
      <c r="E43" t="s">
        <v>929</v>
      </c>
      <c r="F43" t="s">
        <v>930</v>
      </c>
      <c r="G43" t="s">
        <v>931</v>
      </c>
      <c r="H43" t="s">
        <v>1392</v>
      </c>
      <c r="I43">
        <v>70</v>
      </c>
      <c r="J43" t="s">
        <v>932</v>
      </c>
      <c r="K43" t="s">
        <v>59</v>
      </c>
      <c r="L43">
        <v>6</v>
      </c>
      <c r="M43" t="s">
        <v>112</v>
      </c>
      <c r="N43" t="s">
        <v>382</v>
      </c>
      <c r="O43" t="s">
        <v>383</v>
      </c>
      <c r="P43" t="s">
        <v>550</v>
      </c>
      <c r="Q43" t="s">
        <v>64</v>
      </c>
      <c r="R43" t="s">
        <v>65</v>
      </c>
      <c r="S43" t="s">
        <v>219</v>
      </c>
      <c r="T43" t="s">
        <v>273</v>
      </c>
      <c r="U43" t="s">
        <v>854</v>
      </c>
      <c r="V43" t="s">
        <v>157</v>
      </c>
      <c r="W43">
        <v>42034</v>
      </c>
      <c r="X43">
        <v>41968</v>
      </c>
      <c r="Y43">
        <v>66</v>
      </c>
      <c r="Z43">
        <v>89</v>
      </c>
      <c r="AA43" t="s">
        <v>70</v>
      </c>
      <c r="AC43" t="s">
        <v>71</v>
      </c>
      <c r="AD43" t="s">
        <v>72</v>
      </c>
      <c r="AE43">
        <v>1</v>
      </c>
      <c r="AF43">
        <v>43</v>
      </c>
      <c r="AG43">
        <v>75</v>
      </c>
      <c r="AH43" t="s">
        <v>73</v>
      </c>
      <c r="AI43">
        <v>96</v>
      </c>
      <c r="AJ43">
        <v>57</v>
      </c>
      <c r="AK43">
        <v>39</v>
      </c>
      <c r="AL43" t="s">
        <v>97</v>
      </c>
      <c r="AM43">
        <v>68</v>
      </c>
      <c r="AN43" t="s">
        <v>98</v>
      </c>
      <c r="AO43">
        <v>3</v>
      </c>
      <c r="AP43">
        <v>4</v>
      </c>
      <c r="AQ43" t="s">
        <v>306</v>
      </c>
      <c r="AR43" t="s">
        <v>99</v>
      </c>
      <c r="AS43" t="s">
        <v>98</v>
      </c>
      <c r="AT43" t="s">
        <v>76</v>
      </c>
      <c r="AU43" t="s">
        <v>160</v>
      </c>
      <c r="AV43" t="s">
        <v>78</v>
      </c>
      <c r="AW43" t="s">
        <v>102</v>
      </c>
    </row>
    <row r="44" spans="1:49" x14ac:dyDescent="0.25">
      <c r="A44" t="s">
        <v>933</v>
      </c>
      <c r="B44" t="s">
        <v>344</v>
      </c>
      <c r="C44" t="s">
        <v>723</v>
      </c>
      <c r="D44" t="s">
        <v>130</v>
      </c>
      <c r="E44" t="s">
        <v>934</v>
      </c>
      <c r="F44" t="s">
        <v>935</v>
      </c>
      <c r="G44" t="s">
        <v>936</v>
      </c>
      <c r="H44" t="s">
        <v>87</v>
      </c>
      <c r="I44">
        <v>63</v>
      </c>
      <c r="J44" t="s">
        <v>937</v>
      </c>
      <c r="K44" t="s">
        <v>111</v>
      </c>
      <c r="L44">
        <v>6</v>
      </c>
      <c r="M44" t="s">
        <v>60</v>
      </c>
      <c r="N44" t="s">
        <v>243</v>
      </c>
      <c r="O44" t="s">
        <v>244</v>
      </c>
      <c r="P44" t="s">
        <v>63</v>
      </c>
      <c r="Q44" t="s">
        <v>204</v>
      </c>
      <c r="R44" t="s">
        <v>65</v>
      </c>
      <c r="S44" t="s">
        <v>219</v>
      </c>
      <c r="T44" t="s">
        <v>142</v>
      </c>
      <c r="U44" t="s">
        <v>938</v>
      </c>
      <c r="V44" t="s">
        <v>938</v>
      </c>
      <c r="W44">
        <v>40019</v>
      </c>
      <c r="X44">
        <v>38945</v>
      </c>
      <c r="Y44">
        <v>1074</v>
      </c>
      <c r="Z44">
        <v>2647</v>
      </c>
      <c r="AA44" t="s">
        <v>70</v>
      </c>
      <c r="AC44" t="s">
        <v>71</v>
      </c>
      <c r="AD44" t="s">
        <v>95</v>
      </c>
      <c r="AE44">
        <v>6</v>
      </c>
      <c r="AF44">
        <v>83</v>
      </c>
      <c r="AG44">
        <v>88</v>
      </c>
      <c r="AH44" t="s">
        <v>73</v>
      </c>
      <c r="AI44">
        <v>81</v>
      </c>
      <c r="AJ44">
        <v>43</v>
      </c>
      <c r="AK44">
        <v>37</v>
      </c>
      <c r="AL44" t="s">
        <v>122</v>
      </c>
      <c r="AM44">
        <v>86</v>
      </c>
      <c r="AN44" t="s">
        <v>98</v>
      </c>
      <c r="AO44">
        <v>5</v>
      </c>
      <c r="AP44">
        <v>5</v>
      </c>
      <c r="AQ44" t="s">
        <v>900</v>
      </c>
      <c r="AR44" t="s">
        <v>876</v>
      </c>
      <c r="AS44" t="s">
        <v>70</v>
      </c>
      <c r="AT44" t="s">
        <v>125</v>
      </c>
      <c r="AU44" t="s">
        <v>160</v>
      </c>
      <c r="AV44" t="s">
        <v>78</v>
      </c>
      <c r="AW44" t="s">
        <v>276</v>
      </c>
    </row>
    <row r="45" spans="1:49" x14ac:dyDescent="0.25">
      <c r="A45" t="s">
        <v>939</v>
      </c>
      <c r="B45" t="s">
        <v>222</v>
      </c>
      <c r="C45" t="s">
        <v>940</v>
      </c>
      <c r="D45" t="s">
        <v>106</v>
      </c>
      <c r="E45" t="s">
        <v>942</v>
      </c>
      <c r="F45" t="s">
        <v>943</v>
      </c>
      <c r="G45" t="s">
        <v>944</v>
      </c>
      <c r="H45" t="s">
        <v>1393</v>
      </c>
      <c r="I45">
        <v>86</v>
      </c>
      <c r="J45" t="s">
        <v>945</v>
      </c>
      <c r="K45" t="s">
        <v>169</v>
      </c>
      <c r="L45">
        <v>3</v>
      </c>
      <c r="M45" t="s">
        <v>112</v>
      </c>
      <c r="N45" t="s">
        <v>824</v>
      </c>
      <c r="O45" t="s">
        <v>286</v>
      </c>
      <c r="P45" t="s">
        <v>550</v>
      </c>
      <c r="Q45" t="s">
        <v>116</v>
      </c>
      <c r="R45" t="s">
        <v>65</v>
      </c>
      <c r="S45" t="s">
        <v>66</v>
      </c>
      <c r="T45" t="s">
        <v>118</v>
      </c>
      <c r="U45" t="s">
        <v>946</v>
      </c>
      <c r="V45" t="s">
        <v>484</v>
      </c>
      <c r="W45">
        <v>17440</v>
      </c>
      <c r="X45">
        <v>16885</v>
      </c>
      <c r="Y45">
        <v>555</v>
      </c>
      <c r="Z45">
        <v>624</v>
      </c>
      <c r="AA45" t="s">
        <v>98</v>
      </c>
      <c r="AB45" t="s">
        <v>372</v>
      </c>
      <c r="AC45" t="s">
        <v>71</v>
      </c>
      <c r="AD45" t="s">
        <v>95</v>
      </c>
      <c r="AE45">
        <v>6</v>
      </c>
      <c r="AF45">
        <v>60</v>
      </c>
      <c r="AG45">
        <v>62</v>
      </c>
      <c r="AH45" t="s">
        <v>73</v>
      </c>
      <c r="AI45">
        <v>97</v>
      </c>
      <c r="AJ45">
        <v>22</v>
      </c>
      <c r="AK45">
        <v>15</v>
      </c>
      <c r="AL45" t="s">
        <v>122</v>
      </c>
      <c r="AM45">
        <v>68</v>
      </c>
      <c r="AN45" t="s">
        <v>70</v>
      </c>
      <c r="AO45">
        <v>1</v>
      </c>
      <c r="AP45">
        <v>5</v>
      </c>
      <c r="AQ45" t="s">
        <v>207</v>
      </c>
      <c r="AR45" t="s">
        <v>137</v>
      </c>
      <c r="AS45" t="s">
        <v>70</v>
      </c>
      <c r="AT45" t="s">
        <v>287</v>
      </c>
      <c r="AU45" t="s">
        <v>126</v>
      </c>
      <c r="AV45" t="s">
        <v>78</v>
      </c>
      <c r="AW45" t="s">
        <v>102</v>
      </c>
    </row>
    <row r="46" spans="1:49" x14ac:dyDescent="0.25">
      <c r="A46" t="s">
        <v>947</v>
      </c>
      <c r="B46" t="s">
        <v>151</v>
      </c>
      <c r="C46" t="s">
        <v>948</v>
      </c>
      <c r="D46" t="s">
        <v>52</v>
      </c>
      <c r="E46" t="s">
        <v>949</v>
      </c>
      <c r="F46" t="s">
        <v>950</v>
      </c>
      <c r="G46" t="s">
        <v>951</v>
      </c>
      <c r="H46" t="s">
        <v>135</v>
      </c>
      <c r="I46">
        <v>75</v>
      </c>
      <c r="J46" t="s">
        <v>952</v>
      </c>
      <c r="K46" t="s">
        <v>111</v>
      </c>
      <c r="L46">
        <v>12</v>
      </c>
      <c r="M46" t="s">
        <v>60</v>
      </c>
      <c r="N46" t="s">
        <v>883</v>
      </c>
      <c r="O46" t="s">
        <v>884</v>
      </c>
      <c r="P46" t="s">
        <v>63</v>
      </c>
      <c r="Q46" t="s">
        <v>116</v>
      </c>
      <c r="R46" t="s">
        <v>140</v>
      </c>
      <c r="S46" t="s">
        <v>66</v>
      </c>
      <c r="T46" t="s">
        <v>205</v>
      </c>
      <c r="U46" t="s">
        <v>263</v>
      </c>
      <c r="V46" t="s">
        <v>217</v>
      </c>
      <c r="W46">
        <v>16030</v>
      </c>
      <c r="X46">
        <v>15752</v>
      </c>
      <c r="Y46">
        <v>278</v>
      </c>
      <c r="Z46">
        <v>678</v>
      </c>
      <c r="AA46" t="s">
        <v>70</v>
      </c>
      <c r="AC46" t="s">
        <v>71</v>
      </c>
      <c r="AD46" t="s">
        <v>191</v>
      </c>
      <c r="AE46">
        <v>5</v>
      </c>
      <c r="AF46">
        <v>55</v>
      </c>
      <c r="AG46">
        <v>92</v>
      </c>
      <c r="AH46" t="s">
        <v>73</v>
      </c>
      <c r="AI46">
        <v>63</v>
      </c>
      <c r="AJ46">
        <v>43</v>
      </c>
      <c r="AK46">
        <v>40</v>
      </c>
      <c r="AL46" t="s">
        <v>97</v>
      </c>
      <c r="AM46">
        <v>93</v>
      </c>
      <c r="AN46" t="s">
        <v>70</v>
      </c>
      <c r="AO46">
        <v>5</v>
      </c>
      <c r="AP46">
        <v>4</v>
      </c>
      <c r="AQ46" t="s">
        <v>477</v>
      </c>
      <c r="AR46" t="s">
        <v>119</v>
      </c>
      <c r="AS46" t="s">
        <v>98</v>
      </c>
      <c r="AT46" t="s">
        <v>125</v>
      </c>
      <c r="AU46" t="s">
        <v>160</v>
      </c>
      <c r="AV46" t="s">
        <v>78</v>
      </c>
      <c r="AW46" t="s">
        <v>276</v>
      </c>
    </row>
    <row r="47" spans="1:49" x14ac:dyDescent="0.25">
      <c r="A47" t="s">
        <v>953</v>
      </c>
      <c r="B47" t="s">
        <v>389</v>
      </c>
      <c r="C47" t="s">
        <v>954</v>
      </c>
      <c r="D47" t="s">
        <v>106</v>
      </c>
      <c r="E47" t="s">
        <v>955</v>
      </c>
      <c r="F47" t="s">
        <v>956</v>
      </c>
      <c r="G47" t="s">
        <v>957</v>
      </c>
      <c r="H47" t="s">
        <v>1392</v>
      </c>
      <c r="I47">
        <v>88</v>
      </c>
      <c r="J47" t="s">
        <v>958</v>
      </c>
      <c r="K47" t="s">
        <v>294</v>
      </c>
      <c r="L47">
        <v>3</v>
      </c>
      <c r="M47" t="s">
        <v>89</v>
      </c>
      <c r="N47" t="s">
        <v>332</v>
      </c>
      <c r="O47" t="s">
        <v>235</v>
      </c>
      <c r="P47" t="s">
        <v>188</v>
      </c>
      <c r="Q47" t="s">
        <v>116</v>
      </c>
      <c r="R47" t="s">
        <v>65</v>
      </c>
      <c r="S47" t="s">
        <v>219</v>
      </c>
      <c r="T47" t="s">
        <v>118</v>
      </c>
      <c r="U47" t="s">
        <v>189</v>
      </c>
      <c r="V47" t="s">
        <v>189</v>
      </c>
      <c r="W47">
        <v>25558</v>
      </c>
      <c r="X47">
        <v>23782</v>
      </c>
      <c r="Y47">
        <v>1776</v>
      </c>
      <c r="Z47">
        <v>3810</v>
      </c>
      <c r="AA47" t="s">
        <v>70</v>
      </c>
      <c r="AC47" t="s">
        <v>71</v>
      </c>
      <c r="AD47" t="s">
        <v>191</v>
      </c>
      <c r="AE47">
        <v>6</v>
      </c>
      <c r="AF47">
        <v>46</v>
      </c>
      <c r="AG47">
        <v>93</v>
      </c>
      <c r="AH47" t="s">
        <v>96</v>
      </c>
      <c r="AI47">
        <v>92</v>
      </c>
      <c r="AJ47">
        <v>52</v>
      </c>
      <c r="AK47">
        <v>29</v>
      </c>
      <c r="AL47" t="s">
        <v>97</v>
      </c>
      <c r="AM47">
        <v>55</v>
      </c>
      <c r="AN47" t="s">
        <v>98</v>
      </c>
      <c r="AO47">
        <v>2</v>
      </c>
      <c r="AP47">
        <v>3</v>
      </c>
      <c r="AQ47" t="s">
        <v>959</v>
      </c>
      <c r="AR47" t="s">
        <v>427</v>
      </c>
      <c r="AS47" t="s">
        <v>98</v>
      </c>
      <c r="AT47" t="s">
        <v>177</v>
      </c>
      <c r="AU47" t="s">
        <v>160</v>
      </c>
      <c r="AV47" t="s">
        <v>78</v>
      </c>
      <c r="AW47" t="s">
        <v>79</v>
      </c>
    </row>
    <row r="48" spans="1:49" x14ac:dyDescent="0.25">
      <c r="A48" t="s">
        <v>960</v>
      </c>
      <c r="B48" t="s">
        <v>364</v>
      </c>
      <c r="C48" t="s">
        <v>961</v>
      </c>
      <c r="D48" t="s">
        <v>130</v>
      </c>
      <c r="E48" t="s">
        <v>962</v>
      </c>
      <c r="F48" t="s">
        <v>963</v>
      </c>
      <c r="G48" t="s">
        <v>964</v>
      </c>
      <c r="H48" t="s">
        <v>1393</v>
      </c>
      <c r="I48">
        <v>71</v>
      </c>
      <c r="J48" t="s">
        <v>965</v>
      </c>
      <c r="K48" t="s">
        <v>242</v>
      </c>
      <c r="L48">
        <v>3</v>
      </c>
      <c r="M48" t="s">
        <v>112</v>
      </c>
      <c r="N48" t="s">
        <v>832</v>
      </c>
      <c r="O48" t="s">
        <v>966</v>
      </c>
      <c r="P48" t="s">
        <v>231</v>
      </c>
      <c r="Q48" t="s">
        <v>64</v>
      </c>
      <c r="R48" t="s">
        <v>65</v>
      </c>
      <c r="S48" t="s">
        <v>219</v>
      </c>
      <c r="T48" t="s">
        <v>273</v>
      </c>
      <c r="U48" t="s">
        <v>351</v>
      </c>
      <c r="V48" t="s">
        <v>68</v>
      </c>
      <c r="W48">
        <v>43187</v>
      </c>
      <c r="X48">
        <v>40324</v>
      </c>
      <c r="Y48">
        <v>2863</v>
      </c>
      <c r="Z48">
        <v>2874</v>
      </c>
      <c r="AA48" t="s">
        <v>98</v>
      </c>
      <c r="AB48" t="s">
        <v>517</v>
      </c>
      <c r="AC48" t="s">
        <v>71</v>
      </c>
      <c r="AD48" t="s">
        <v>72</v>
      </c>
      <c r="AE48">
        <v>6</v>
      </c>
      <c r="AF48">
        <v>70</v>
      </c>
      <c r="AG48">
        <v>82</v>
      </c>
      <c r="AH48" t="s">
        <v>234</v>
      </c>
      <c r="AI48">
        <v>81</v>
      </c>
      <c r="AJ48">
        <v>23</v>
      </c>
      <c r="AK48">
        <v>18</v>
      </c>
      <c r="AM48">
        <v>78</v>
      </c>
      <c r="AN48" t="s">
        <v>70</v>
      </c>
      <c r="AO48">
        <v>5</v>
      </c>
      <c r="AP48">
        <v>5</v>
      </c>
      <c r="AQ48" t="s">
        <v>429</v>
      </c>
      <c r="AR48" t="s">
        <v>202</v>
      </c>
      <c r="AS48" t="s">
        <v>98</v>
      </c>
      <c r="AT48" t="s">
        <v>177</v>
      </c>
      <c r="AU48" t="s">
        <v>160</v>
      </c>
      <c r="AV48" t="s">
        <v>147</v>
      </c>
    </row>
    <row r="49" spans="1:49" x14ac:dyDescent="0.25">
      <c r="A49" t="s">
        <v>967</v>
      </c>
      <c r="B49" t="s">
        <v>104</v>
      </c>
      <c r="C49" t="s">
        <v>180</v>
      </c>
      <c r="D49" t="s">
        <v>106</v>
      </c>
      <c r="E49" t="s">
        <v>968</v>
      </c>
      <c r="F49" t="s">
        <v>969</v>
      </c>
      <c r="G49" t="s">
        <v>822</v>
      </c>
      <c r="H49" t="s">
        <v>57</v>
      </c>
      <c r="I49">
        <v>60</v>
      </c>
      <c r="J49" t="s">
        <v>970</v>
      </c>
      <c r="K49" t="s">
        <v>169</v>
      </c>
      <c r="L49">
        <v>6</v>
      </c>
      <c r="M49" t="s">
        <v>60</v>
      </c>
      <c r="N49" t="s">
        <v>173</v>
      </c>
      <c r="O49" t="s">
        <v>971</v>
      </c>
      <c r="P49" t="s">
        <v>285</v>
      </c>
      <c r="Q49" t="s">
        <v>204</v>
      </c>
      <c r="R49" t="s">
        <v>65</v>
      </c>
      <c r="S49" t="s">
        <v>219</v>
      </c>
      <c r="T49" t="s">
        <v>273</v>
      </c>
      <c r="U49" t="s">
        <v>217</v>
      </c>
      <c r="V49" t="s">
        <v>156</v>
      </c>
      <c r="W49">
        <v>49566</v>
      </c>
      <c r="X49">
        <v>46900</v>
      </c>
      <c r="Y49">
        <v>2666</v>
      </c>
      <c r="Z49">
        <v>3546</v>
      </c>
      <c r="AA49" t="s">
        <v>70</v>
      </c>
      <c r="AC49" t="s">
        <v>71</v>
      </c>
      <c r="AD49" t="s">
        <v>95</v>
      </c>
      <c r="AE49">
        <v>6</v>
      </c>
      <c r="AF49">
        <v>55</v>
      </c>
      <c r="AG49">
        <v>55</v>
      </c>
      <c r="AH49" t="s">
        <v>73</v>
      </c>
      <c r="AI49">
        <v>100</v>
      </c>
      <c r="AJ49">
        <v>31</v>
      </c>
      <c r="AK49">
        <v>15</v>
      </c>
      <c r="AL49" t="s">
        <v>122</v>
      </c>
      <c r="AM49">
        <v>48</v>
      </c>
      <c r="AN49" t="s">
        <v>70</v>
      </c>
      <c r="AO49">
        <v>1</v>
      </c>
      <c r="AP49">
        <v>1</v>
      </c>
      <c r="AQ49" t="s">
        <v>727</v>
      </c>
      <c r="AR49" t="s">
        <v>144</v>
      </c>
      <c r="AS49" t="s">
        <v>98</v>
      </c>
      <c r="AT49" t="s">
        <v>177</v>
      </c>
      <c r="AU49" t="s">
        <v>160</v>
      </c>
      <c r="AV49" t="s">
        <v>147</v>
      </c>
    </row>
    <row r="50" spans="1:49" x14ac:dyDescent="0.25">
      <c r="A50" t="s">
        <v>972</v>
      </c>
      <c r="B50" t="s">
        <v>973</v>
      </c>
      <c r="C50" t="s">
        <v>974</v>
      </c>
      <c r="D50" t="s">
        <v>130</v>
      </c>
      <c r="E50" t="s">
        <v>975</v>
      </c>
      <c r="F50" t="s">
        <v>976</v>
      </c>
      <c r="G50" t="s">
        <v>977</v>
      </c>
      <c r="H50" t="s">
        <v>135</v>
      </c>
      <c r="I50">
        <v>78</v>
      </c>
      <c r="J50" t="s">
        <v>978</v>
      </c>
      <c r="K50" t="s">
        <v>111</v>
      </c>
      <c r="L50">
        <v>12</v>
      </c>
      <c r="M50" t="s">
        <v>89</v>
      </c>
      <c r="N50" t="s">
        <v>286</v>
      </c>
      <c r="O50" t="s">
        <v>840</v>
      </c>
      <c r="P50" t="s">
        <v>384</v>
      </c>
      <c r="Q50" t="s">
        <v>204</v>
      </c>
      <c r="R50" t="s">
        <v>140</v>
      </c>
      <c r="S50" t="s">
        <v>117</v>
      </c>
      <c r="T50" t="s">
        <v>118</v>
      </c>
      <c r="U50" t="s">
        <v>308</v>
      </c>
      <c r="V50" t="s">
        <v>966</v>
      </c>
      <c r="W50">
        <v>21587</v>
      </c>
      <c r="X50">
        <v>20315</v>
      </c>
      <c r="Y50">
        <v>1272</v>
      </c>
      <c r="Z50">
        <v>2486</v>
      </c>
      <c r="AA50" t="s">
        <v>98</v>
      </c>
      <c r="AB50" t="s">
        <v>876</v>
      </c>
      <c r="AC50" t="s">
        <v>71</v>
      </c>
      <c r="AD50" t="s">
        <v>72</v>
      </c>
      <c r="AE50">
        <v>5</v>
      </c>
      <c r="AF50">
        <v>88</v>
      </c>
      <c r="AG50">
        <v>95</v>
      </c>
      <c r="AH50" t="s">
        <v>73</v>
      </c>
      <c r="AI50">
        <v>94</v>
      </c>
      <c r="AJ50">
        <v>51</v>
      </c>
      <c r="AK50">
        <v>25</v>
      </c>
      <c r="AL50" t="s">
        <v>122</v>
      </c>
      <c r="AM50">
        <v>49</v>
      </c>
      <c r="AN50" t="s">
        <v>70</v>
      </c>
      <c r="AO50">
        <v>5</v>
      </c>
      <c r="AP50">
        <v>5</v>
      </c>
      <c r="AQ50" t="s">
        <v>407</v>
      </c>
      <c r="AR50" t="s">
        <v>114</v>
      </c>
      <c r="AS50" t="s">
        <v>98</v>
      </c>
      <c r="AT50" t="s">
        <v>101</v>
      </c>
      <c r="AU50" t="s">
        <v>160</v>
      </c>
      <c r="AV50" t="s">
        <v>147</v>
      </c>
    </row>
    <row r="51" spans="1:49" x14ac:dyDescent="0.25">
      <c r="A51" t="s">
        <v>979</v>
      </c>
      <c r="B51" t="s">
        <v>83</v>
      </c>
      <c r="C51" t="s">
        <v>980</v>
      </c>
      <c r="D51" t="s">
        <v>106</v>
      </c>
      <c r="E51" t="s">
        <v>981</v>
      </c>
      <c r="F51" t="s">
        <v>982</v>
      </c>
      <c r="G51" t="s">
        <v>983</v>
      </c>
      <c r="H51" t="s">
        <v>57</v>
      </c>
      <c r="I51">
        <v>92</v>
      </c>
      <c r="J51" t="s">
        <v>984</v>
      </c>
      <c r="K51" t="s">
        <v>111</v>
      </c>
      <c r="L51">
        <v>6</v>
      </c>
      <c r="M51" t="s">
        <v>112</v>
      </c>
      <c r="N51" t="s">
        <v>208</v>
      </c>
      <c r="O51" t="s">
        <v>985</v>
      </c>
      <c r="P51" t="s">
        <v>259</v>
      </c>
      <c r="Q51" t="s">
        <v>64</v>
      </c>
      <c r="R51" t="s">
        <v>65</v>
      </c>
      <c r="S51" t="s">
        <v>117</v>
      </c>
      <c r="T51" t="s">
        <v>118</v>
      </c>
      <c r="U51" t="s">
        <v>68</v>
      </c>
      <c r="V51" t="s">
        <v>333</v>
      </c>
      <c r="W51">
        <v>40772</v>
      </c>
      <c r="X51">
        <v>39048</v>
      </c>
      <c r="Y51">
        <v>1724</v>
      </c>
      <c r="Z51">
        <v>4472</v>
      </c>
      <c r="AA51" t="s">
        <v>70</v>
      </c>
      <c r="AC51" t="s">
        <v>71</v>
      </c>
      <c r="AD51" t="s">
        <v>72</v>
      </c>
      <c r="AE51">
        <v>7</v>
      </c>
      <c r="AF51">
        <v>69</v>
      </c>
      <c r="AG51">
        <v>83</v>
      </c>
      <c r="AH51" t="s">
        <v>73</v>
      </c>
      <c r="AI51">
        <v>73</v>
      </c>
      <c r="AJ51">
        <v>33</v>
      </c>
      <c r="AK51">
        <v>17</v>
      </c>
      <c r="AM51">
        <v>51</v>
      </c>
      <c r="AN51" t="s">
        <v>70</v>
      </c>
      <c r="AO51">
        <v>2</v>
      </c>
      <c r="AP51">
        <v>2</v>
      </c>
      <c r="AQ51" t="s">
        <v>309</v>
      </c>
      <c r="AR51" t="s">
        <v>687</v>
      </c>
      <c r="AS51" t="s">
        <v>70</v>
      </c>
      <c r="AT51" t="s">
        <v>177</v>
      </c>
      <c r="AU51" t="s">
        <v>126</v>
      </c>
      <c r="AV51" t="s">
        <v>78</v>
      </c>
      <c r="AW51" t="s">
        <v>79</v>
      </c>
    </row>
  </sheetData>
  <conditionalFormatting sqref="B1:B2 B5:B6 B9:B11 B14 B20:B23 B25 B27:B28 B32:B33 B35:B36 B38:B1048576">
    <cfRule type="duplicateValues" dxfId="1" priority="1"/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W51"/>
  <sheetViews>
    <sheetView topLeftCell="A24" workbookViewId="0">
      <selection activeCell="E2" sqref="A2:XFD51"/>
    </sheetView>
  </sheetViews>
  <sheetFormatPr defaultRowHeight="15" x14ac:dyDescent="0.25"/>
  <cols>
    <col min="1" max="1" width="10.28515625" bestFit="1" customWidth="1"/>
    <col min="2" max="2" width="15.5703125" bestFit="1" customWidth="1"/>
    <col min="3" max="3" width="12.140625" bestFit="1" customWidth="1"/>
    <col min="4" max="4" width="7.5703125" bestFit="1" customWidth="1"/>
    <col min="5" max="5" width="22.140625" bestFit="1" customWidth="1"/>
    <col min="6" max="6" width="28.5703125" bestFit="1" customWidth="1"/>
    <col min="7" max="7" width="22.28515625" bestFit="1" customWidth="1"/>
    <col min="8" max="8" width="20.42578125" bestFit="1" customWidth="1"/>
    <col min="9" max="9" width="33.85546875" bestFit="1" customWidth="1"/>
    <col min="10" max="10" width="18.140625" bestFit="1" customWidth="1"/>
    <col min="11" max="11" width="15.42578125" bestFit="1" customWidth="1"/>
    <col min="12" max="12" width="24.28515625" bestFit="1" customWidth="1"/>
    <col min="13" max="13" width="10.140625" bestFit="1" customWidth="1"/>
    <col min="14" max="14" width="15.140625" bestFit="1" customWidth="1"/>
    <col min="15" max="15" width="14.28515625" bestFit="1" customWidth="1"/>
    <col min="16" max="16" width="20" bestFit="1" customWidth="1"/>
    <col min="17" max="17" width="7.28515625" bestFit="1" customWidth="1"/>
    <col min="18" max="18" width="12.85546875" bestFit="1" customWidth="1"/>
    <col min="19" max="19" width="10" bestFit="1" customWidth="1"/>
    <col min="20" max="20" width="12.140625" bestFit="1" customWidth="1"/>
    <col min="21" max="21" width="15.5703125" bestFit="1" customWidth="1"/>
    <col min="22" max="22" width="16.42578125" bestFit="1" customWidth="1"/>
    <col min="23" max="23" width="16.7109375" bestFit="1" customWidth="1"/>
    <col min="24" max="24" width="12.42578125" bestFit="1" customWidth="1"/>
    <col min="25" max="25" width="16" bestFit="1" customWidth="1"/>
    <col min="26" max="26" width="14.42578125" bestFit="1" customWidth="1"/>
    <col min="27" max="27" width="15.5703125" bestFit="1" customWidth="1"/>
    <col min="28" max="28" width="22.5703125" bestFit="1" customWidth="1"/>
    <col min="29" max="29" width="14.85546875" bestFit="1" customWidth="1"/>
    <col min="30" max="30" width="16.42578125" bestFit="1" customWidth="1"/>
    <col min="31" max="31" width="21.7109375" bestFit="1" customWidth="1"/>
    <col min="32" max="32" width="18" bestFit="1" customWidth="1"/>
    <col min="33" max="33" width="13.85546875" bestFit="1" customWidth="1"/>
    <col min="34" max="34" width="19.5703125" bestFit="1" customWidth="1"/>
    <col min="35" max="35" width="30.140625" bestFit="1" customWidth="1"/>
    <col min="36" max="36" width="22.7109375" bestFit="1" customWidth="1"/>
    <col min="37" max="37" width="16.42578125" bestFit="1" customWidth="1"/>
    <col min="38" max="38" width="20.5703125" bestFit="1" customWidth="1"/>
    <col min="39" max="39" width="14.85546875" bestFit="1" customWidth="1"/>
    <col min="40" max="40" width="21.85546875" bestFit="1" customWidth="1"/>
    <col min="41" max="41" width="15.85546875" bestFit="1" customWidth="1"/>
    <col min="42" max="42" width="17" bestFit="1" customWidth="1"/>
    <col min="43" max="43" width="18.140625" bestFit="1" customWidth="1"/>
    <col min="44" max="44" width="14.7109375" bestFit="1" customWidth="1"/>
    <col min="45" max="45" width="16.42578125" bestFit="1" customWidth="1"/>
    <col min="46" max="46" width="12.5703125" bestFit="1" customWidth="1"/>
    <col min="47" max="47" width="31.28515625" bestFit="1" customWidth="1"/>
    <col min="48" max="48" width="14.28515625" bestFit="1" customWidth="1"/>
    <col min="49" max="49" width="17.85546875" bestFit="1" customWidth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986</v>
      </c>
      <c r="B2" t="s">
        <v>1322</v>
      </c>
      <c r="C2" t="s">
        <v>504</v>
      </c>
      <c r="D2" t="s">
        <v>130</v>
      </c>
      <c r="E2" t="s">
        <v>987</v>
      </c>
      <c r="F2" t="s">
        <v>988</v>
      </c>
      <c r="G2" t="s">
        <v>989</v>
      </c>
      <c r="H2" t="s">
        <v>135</v>
      </c>
      <c r="I2">
        <v>61</v>
      </c>
      <c r="J2" t="s">
        <v>990</v>
      </c>
      <c r="K2" t="s">
        <v>294</v>
      </c>
      <c r="L2">
        <v>12</v>
      </c>
      <c r="M2" t="s">
        <v>89</v>
      </c>
      <c r="N2" t="s">
        <v>475</v>
      </c>
      <c r="O2" t="s">
        <v>991</v>
      </c>
      <c r="P2" t="s">
        <v>371</v>
      </c>
      <c r="Q2" t="s">
        <v>204</v>
      </c>
      <c r="R2" t="s">
        <v>65</v>
      </c>
      <c r="S2" t="s">
        <v>232</v>
      </c>
      <c r="T2" t="s">
        <v>273</v>
      </c>
      <c r="U2" t="s">
        <v>309</v>
      </c>
      <c r="V2" t="s">
        <v>144</v>
      </c>
      <c r="W2">
        <v>24902</v>
      </c>
      <c r="X2">
        <v>23823</v>
      </c>
      <c r="Y2">
        <v>1079</v>
      </c>
      <c r="Z2">
        <v>2762</v>
      </c>
      <c r="AA2" t="s">
        <v>70</v>
      </c>
      <c r="AC2" t="s">
        <v>71</v>
      </c>
      <c r="AD2" t="s">
        <v>95</v>
      </c>
      <c r="AE2">
        <v>1</v>
      </c>
      <c r="AF2">
        <v>89</v>
      </c>
      <c r="AG2">
        <v>90</v>
      </c>
      <c r="AH2" t="s">
        <v>73</v>
      </c>
      <c r="AI2">
        <v>85</v>
      </c>
      <c r="AJ2">
        <v>40</v>
      </c>
      <c r="AK2">
        <v>38</v>
      </c>
      <c r="AL2" t="s">
        <v>122</v>
      </c>
      <c r="AM2">
        <v>100</v>
      </c>
      <c r="AN2" t="s">
        <v>98</v>
      </c>
      <c r="AO2">
        <v>4</v>
      </c>
      <c r="AP2">
        <v>5</v>
      </c>
      <c r="AQ2" t="s">
        <v>789</v>
      </c>
      <c r="AR2" t="s">
        <v>992</v>
      </c>
      <c r="AS2" t="s">
        <v>70</v>
      </c>
      <c r="AT2" t="s">
        <v>101</v>
      </c>
      <c r="AU2" t="s">
        <v>126</v>
      </c>
      <c r="AV2" t="s">
        <v>147</v>
      </c>
    </row>
    <row r="3" spans="1:49" x14ac:dyDescent="0.25">
      <c r="A3" t="s">
        <v>993</v>
      </c>
      <c r="B3" t="s">
        <v>1339</v>
      </c>
      <c r="C3" t="s">
        <v>994</v>
      </c>
      <c r="D3" t="s">
        <v>106</v>
      </c>
      <c r="E3" t="s">
        <v>995</v>
      </c>
      <c r="F3" t="s">
        <v>996</v>
      </c>
      <c r="G3" t="s">
        <v>997</v>
      </c>
      <c r="H3" t="s">
        <v>135</v>
      </c>
      <c r="I3">
        <v>68</v>
      </c>
      <c r="J3" t="s">
        <v>998</v>
      </c>
      <c r="K3" t="s">
        <v>242</v>
      </c>
      <c r="L3">
        <v>6</v>
      </c>
      <c r="M3" t="s">
        <v>60</v>
      </c>
      <c r="N3" t="s">
        <v>694</v>
      </c>
      <c r="O3" t="s">
        <v>695</v>
      </c>
      <c r="P3" t="s">
        <v>331</v>
      </c>
      <c r="Q3" t="s">
        <v>64</v>
      </c>
      <c r="R3" t="s">
        <v>140</v>
      </c>
      <c r="S3" t="s">
        <v>141</v>
      </c>
      <c r="T3" t="s">
        <v>205</v>
      </c>
      <c r="U3" t="s">
        <v>598</v>
      </c>
      <c r="V3" t="s">
        <v>999</v>
      </c>
      <c r="W3">
        <v>24283</v>
      </c>
      <c r="X3">
        <v>21996</v>
      </c>
      <c r="Y3">
        <v>2287</v>
      </c>
      <c r="Z3">
        <v>4413</v>
      </c>
      <c r="AA3" t="s">
        <v>98</v>
      </c>
      <c r="AB3" t="s">
        <v>440</v>
      </c>
      <c r="AC3" t="s">
        <v>71</v>
      </c>
      <c r="AD3" t="s">
        <v>95</v>
      </c>
      <c r="AE3">
        <v>1</v>
      </c>
      <c r="AF3">
        <v>42</v>
      </c>
      <c r="AG3">
        <v>79</v>
      </c>
      <c r="AH3" t="s">
        <v>234</v>
      </c>
      <c r="AI3">
        <v>94</v>
      </c>
      <c r="AJ3">
        <v>30</v>
      </c>
      <c r="AK3">
        <v>25</v>
      </c>
      <c r="AL3" t="s">
        <v>122</v>
      </c>
      <c r="AM3">
        <v>100</v>
      </c>
      <c r="AN3" t="s">
        <v>98</v>
      </c>
      <c r="AO3">
        <v>3</v>
      </c>
      <c r="AP3">
        <v>1</v>
      </c>
      <c r="AQ3" t="s">
        <v>415</v>
      </c>
      <c r="AR3" t="s">
        <v>429</v>
      </c>
      <c r="AS3" t="s">
        <v>70</v>
      </c>
      <c r="AT3" t="s">
        <v>177</v>
      </c>
      <c r="AU3" t="s">
        <v>77</v>
      </c>
      <c r="AV3" t="s">
        <v>147</v>
      </c>
    </row>
    <row r="4" spans="1:49" x14ac:dyDescent="0.25">
      <c r="A4" t="s">
        <v>1000</v>
      </c>
      <c r="B4" t="s">
        <v>486</v>
      </c>
      <c r="C4" t="s">
        <v>1001</v>
      </c>
      <c r="D4" t="s">
        <v>52</v>
      </c>
      <c r="E4" t="s">
        <v>1002</v>
      </c>
      <c r="F4" t="s">
        <v>1003</v>
      </c>
      <c r="G4" t="s">
        <v>1004</v>
      </c>
      <c r="H4" t="s">
        <v>1394</v>
      </c>
      <c r="I4">
        <v>88</v>
      </c>
      <c r="J4" t="s">
        <v>1005</v>
      </c>
      <c r="K4" t="s">
        <v>294</v>
      </c>
      <c r="L4">
        <v>3</v>
      </c>
      <c r="M4" t="s">
        <v>60</v>
      </c>
      <c r="N4" t="s">
        <v>395</v>
      </c>
      <c r="O4" t="s">
        <v>120</v>
      </c>
      <c r="P4" t="s">
        <v>396</v>
      </c>
      <c r="Q4" t="s">
        <v>204</v>
      </c>
      <c r="R4" t="s">
        <v>140</v>
      </c>
      <c r="S4" t="s">
        <v>232</v>
      </c>
      <c r="T4" t="s">
        <v>273</v>
      </c>
      <c r="U4" t="s">
        <v>298</v>
      </c>
      <c r="V4" t="s">
        <v>262</v>
      </c>
      <c r="W4">
        <v>26489</v>
      </c>
      <c r="X4">
        <v>26292</v>
      </c>
      <c r="Y4">
        <v>197</v>
      </c>
      <c r="Z4">
        <v>2244</v>
      </c>
      <c r="AA4" t="s">
        <v>70</v>
      </c>
      <c r="AC4" t="s">
        <v>71</v>
      </c>
      <c r="AD4" t="s">
        <v>191</v>
      </c>
      <c r="AE4">
        <v>10</v>
      </c>
      <c r="AF4">
        <v>44</v>
      </c>
      <c r="AG4">
        <v>83</v>
      </c>
      <c r="AH4" t="s">
        <v>73</v>
      </c>
      <c r="AI4">
        <v>79</v>
      </c>
      <c r="AJ4">
        <v>60</v>
      </c>
      <c r="AK4">
        <v>20</v>
      </c>
      <c r="AM4">
        <v>100</v>
      </c>
      <c r="AN4" t="s">
        <v>70</v>
      </c>
      <c r="AO4">
        <v>2</v>
      </c>
      <c r="AP4">
        <v>2</v>
      </c>
      <c r="AQ4" t="s">
        <v>249</v>
      </c>
      <c r="AR4" t="s">
        <v>333</v>
      </c>
      <c r="AS4" t="s">
        <v>70</v>
      </c>
      <c r="AT4" t="s">
        <v>76</v>
      </c>
      <c r="AU4" t="s">
        <v>126</v>
      </c>
      <c r="AV4" t="s">
        <v>78</v>
      </c>
      <c r="AW4" t="s">
        <v>102</v>
      </c>
    </row>
    <row r="5" spans="1:49" x14ac:dyDescent="0.25">
      <c r="A5" t="s">
        <v>1006</v>
      </c>
      <c r="B5" t="s">
        <v>1338</v>
      </c>
      <c r="C5" t="s">
        <v>1007</v>
      </c>
      <c r="D5" t="s">
        <v>106</v>
      </c>
      <c r="E5" t="s">
        <v>1008</v>
      </c>
      <c r="F5" t="s">
        <v>1009</v>
      </c>
      <c r="G5" t="s">
        <v>1010</v>
      </c>
      <c r="H5" t="s">
        <v>57</v>
      </c>
      <c r="I5">
        <v>95</v>
      </c>
      <c r="J5" t="s">
        <v>1011</v>
      </c>
      <c r="K5" t="s">
        <v>169</v>
      </c>
      <c r="L5">
        <v>12</v>
      </c>
      <c r="M5" t="s">
        <v>60</v>
      </c>
      <c r="N5" t="s">
        <v>854</v>
      </c>
      <c r="O5" t="s">
        <v>1012</v>
      </c>
      <c r="P5" t="s">
        <v>550</v>
      </c>
      <c r="Q5" t="s">
        <v>64</v>
      </c>
      <c r="R5" t="s">
        <v>140</v>
      </c>
      <c r="S5" t="s">
        <v>117</v>
      </c>
      <c r="T5" t="s">
        <v>273</v>
      </c>
      <c r="U5" t="s">
        <v>175</v>
      </c>
      <c r="V5" t="s">
        <v>706</v>
      </c>
      <c r="W5">
        <v>24249</v>
      </c>
      <c r="X5">
        <v>24206</v>
      </c>
      <c r="Y5">
        <v>43</v>
      </c>
      <c r="Z5">
        <v>121</v>
      </c>
      <c r="AA5" t="s">
        <v>70</v>
      </c>
      <c r="AC5" t="s">
        <v>71</v>
      </c>
      <c r="AD5" t="s">
        <v>121</v>
      </c>
      <c r="AE5">
        <v>5</v>
      </c>
      <c r="AF5">
        <v>71</v>
      </c>
      <c r="AG5">
        <v>81</v>
      </c>
      <c r="AH5" t="s">
        <v>96</v>
      </c>
      <c r="AI5">
        <v>92</v>
      </c>
      <c r="AJ5">
        <v>28</v>
      </c>
      <c r="AK5">
        <v>18</v>
      </c>
      <c r="AM5">
        <v>64</v>
      </c>
      <c r="AN5" t="s">
        <v>70</v>
      </c>
      <c r="AO5">
        <v>3</v>
      </c>
      <c r="AP5">
        <v>1</v>
      </c>
      <c r="AQ5" t="s">
        <v>74</v>
      </c>
      <c r="AR5" t="s">
        <v>517</v>
      </c>
      <c r="AS5" t="s">
        <v>70</v>
      </c>
      <c r="AT5" t="s">
        <v>76</v>
      </c>
      <c r="AU5" t="s">
        <v>160</v>
      </c>
      <c r="AV5" t="s">
        <v>78</v>
      </c>
      <c r="AW5" t="s">
        <v>79</v>
      </c>
    </row>
    <row r="6" spans="1:49" x14ac:dyDescent="0.25">
      <c r="A6" t="s">
        <v>1013</v>
      </c>
      <c r="B6" t="s">
        <v>212</v>
      </c>
      <c r="C6" t="s">
        <v>1014</v>
      </c>
      <c r="D6" t="s">
        <v>130</v>
      </c>
      <c r="E6" t="s">
        <v>1015</v>
      </c>
      <c r="F6" t="s">
        <v>1016</v>
      </c>
      <c r="G6" t="s">
        <v>1017</v>
      </c>
      <c r="H6" t="s">
        <v>1395</v>
      </c>
      <c r="I6">
        <v>72</v>
      </c>
      <c r="J6" t="s">
        <v>1018</v>
      </c>
      <c r="K6" t="s">
        <v>242</v>
      </c>
      <c r="L6">
        <v>6</v>
      </c>
      <c r="M6" t="s">
        <v>60</v>
      </c>
      <c r="N6" t="s">
        <v>1019</v>
      </c>
      <c r="O6" t="s">
        <v>399</v>
      </c>
      <c r="P6" t="s">
        <v>188</v>
      </c>
      <c r="Q6" t="s">
        <v>116</v>
      </c>
      <c r="R6" t="s">
        <v>65</v>
      </c>
      <c r="S6" t="s">
        <v>141</v>
      </c>
      <c r="T6" t="s">
        <v>142</v>
      </c>
      <c r="U6" t="s">
        <v>714</v>
      </c>
      <c r="V6" t="s">
        <v>583</v>
      </c>
      <c r="W6">
        <v>19931</v>
      </c>
      <c r="X6">
        <v>19557</v>
      </c>
      <c r="Y6">
        <v>374</v>
      </c>
      <c r="Z6">
        <v>1222</v>
      </c>
      <c r="AA6" t="s">
        <v>98</v>
      </c>
      <c r="AB6" t="s">
        <v>386</v>
      </c>
      <c r="AC6" t="s">
        <v>71</v>
      </c>
      <c r="AD6" t="s">
        <v>72</v>
      </c>
      <c r="AE6">
        <v>3</v>
      </c>
      <c r="AF6">
        <v>44</v>
      </c>
      <c r="AG6">
        <v>99</v>
      </c>
      <c r="AH6" t="s">
        <v>96</v>
      </c>
      <c r="AI6">
        <v>90</v>
      </c>
      <c r="AJ6">
        <v>24</v>
      </c>
      <c r="AK6">
        <v>22</v>
      </c>
      <c r="AM6">
        <v>91</v>
      </c>
      <c r="AN6" t="s">
        <v>70</v>
      </c>
      <c r="AO6">
        <v>5</v>
      </c>
      <c r="AP6">
        <v>5</v>
      </c>
      <c r="AQ6" t="s">
        <v>468</v>
      </c>
      <c r="AR6" t="s">
        <v>341</v>
      </c>
      <c r="AS6" t="s">
        <v>70</v>
      </c>
      <c r="AT6" t="s">
        <v>177</v>
      </c>
      <c r="AU6" t="s">
        <v>126</v>
      </c>
      <c r="AV6" t="s">
        <v>78</v>
      </c>
      <c r="AW6" t="s">
        <v>102</v>
      </c>
    </row>
    <row r="7" spans="1:49" x14ac:dyDescent="0.25">
      <c r="A7" t="s">
        <v>1020</v>
      </c>
      <c r="B7" t="s">
        <v>1337</v>
      </c>
      <c r="C7" t="s">
        <v>842</v>
      </c>
      <c r="D7" t="s">
        <v>106</v>
      </c>
      <c r="E7" t="s">
        <v>1021</v>
      </c>
      <c r="F7" t="s">
        <v>1022</v>
      </c>
      <c r="G7" t="s">
        <v>1023</v>
      </c>
      <c r="H7" t="s">
        <v>135</v>
      </c>
      <c r="I7">
        <v>94</v>
      </c>
      <c r="J7" t="s">
        <v>1024</v>
      </c>
      <c r="K7" t="s">
        <v>242</v>
      </c>
      <c r="L7">
        <v>3</v>
      </c>
      <c r="M7" t="s">
        <v>89</v>
      </c>
      <c r="N7" t="s">
        <v>361</v>
      </c>
      <c r="O7" t="s">
        <v>574</v>
      </c>
      <c r="P7" t="s">
        <v>396</v>
      </c>
      <c r="Q7" t="s">
        <v>64</v>
      </c>
      <c r="R7" t="s">
        <v>140</v>
      </c>
      <c r="S7" t="s">
        <v>66</v>
      </c>
      <c r="T7" t="s">
        <v>142</v>
      </c>
      <c r="U7" t="s">
        <v>450</v>
      </c>
      <c r="V7" t="s">
        <v>306</v>
      </c>
      <c r="W7">
        <v>41308</v>
      </c>
      <c r="X7">
        <v>40228</v>
      </c>
      <c r="Y7">
        <v>1080</v>
      </c>
      <c r="Z7">
        <v>3391</v>
      </c>
      <c r="AA7" t="s">
        <v>70</v>
      </c>
      <c r="AC7" t="s">
        <v>71</v>
      </c>
      <c r="AD7" t="s">
        <v>121</v>
      </c>
      <c r="AE7">
        <v>9</v>
      </c>
      <c r="AF7">
        <v>61</v>
      </c>
      <c r="AG7">
        <v>100</v>
      </c>
      <c r="AH7" t="s">
        <v>96</v>
      </c>
      <c r="AI7">
        <v>99</v>
      </c>
      <c r="AJ7">
        <v>50</v>
      </c>
      <c r="AK7">
        <v>39</v>
      </c>
      <c r="AL7" t="s">
        <v>97</v>
      </c>
      <c r="AM7">
        <v>78</v>
      </c>
      <c r="AN7" t="s">
        <v>98</v>
      </c>
      <c r="AO7">
        <v>3</v>
      </c>
      <c r="AP7">
        <v>1</v>
      </c>
      <c r="AQ7" t="s">
        <v>235</v>
      </c>
      <c r="AR7" t="s">
        <v>781</v>
      </c>
      <c r="AS7" t="s">
        <v>98</v>
      </c>
      <c r="AT7" t="s">
        <v>101</v>
      </c>
      <c r="AU7" t="s">
        <v>126</v>
      </c>
      <c r="AV7" t="s">
        <v>147</v>
      </c>
    </row>
    <row r="8" spans="1:49" x14ac:dyDescent="0.25">
      <c r="A8" t="s">
        <v>1025</v>
      </c>
      <c r="B8" t="s">
        <v>569</v>
      </c>
      <c r="C8" t="s">
        <v>674</v>
      </c>
      <c r="D8" t="s">
        <v>130</v>
      </c>
      <c r="E8" t="s">
        <v>1026</v>
      </c>
      <c r="F8" t="s">
        <v>1027</v>
      </c>
      <c r="G8" t="s">
        <v>1028</v>
      </c>
      <c r="H8" t="s">
        <v>57</v>
      </c>
      <c r="I8">
        <v>76</v>
      </c>
      <c r="J8" t="s">
        <v>1029</v>
      </c>
      <c r="K8" t="s">
        <v>169</v>
      </c>
      <c r="L8">
        <v>6</v>
      </c>
      <c r="M8" t="s">
        <v>60</v>
      </c>
      <c r="N8" t="s">
        <v>261</v>
      </c>
      <c r="O8" t="s">
        <v>1030</v>
      </c>
      <c r="P8" t="s">
        <v>172</v>
      </c>
      <c r="Q8" t="s">
        <v>204</v>
      </c>
      <c r="R8" t="s">
        <v>65</v>
      </c>
      <c r="S8" t="s">
        <v>66</v>
      </c>
      <c r="T8" t="s">
        <v>118</v>
      </c>
      <c r="U8" t="s">
        <v>415</v>
      </c>
      <c r="V8" t="s">
        <v>415</v>
      </c>
      <c r="W8">
        <v>18265</v>
      </c>
      <c r="X8">
        <v>14570</v>
      </c>
      <c r="Y8">
        <v>3695</v>
      </c>
      <c r="Z8">
        <v>3727</v>
      </c>
      <c r="AA8" t="s">
        <v>70</v>
      </c>
      <c r="AC8" t="s">
        <v>71</v>
      </c>
      <c r="AD8" t="s">
        <v>121</v>
      </c>
      <c r="AE8">
        <v>4</v>
      </c>
      <c r="AF8">
        <v>66</v>
      </c>
      <c r="AG8">
        <v>85</v>
      </c>
      <c r="AH8" t="s">
        <v>96</v>
      </c>
      <c r="AI8">
        <v>86</v>
      </c>
      <c r="AJ8">
        <v>54</v>
      </c>
      <c r="AK8">
        <v>19</v>
      </c>
      <c r="AL8" t="s">
        <v>122</v>
      </c>
      <c r="AM8">
        <v>35</v>
      </c>
      <c r="AN8" t="s">
        <v>98</v>
      </c>
      <c r="AO8">
        <v>2</v>
      </c>
      <c r="AP8">
        <v>3</v>
      </c>
      <c r="AQ8" t="s">
        <v>230</v>
      </c>
      <c r="AR8" t="s">
        <v>686</v>
      </c>
      <c r="AS8" t="s">
        <v>98</v>
      </c>
      <c r="AT8" t="s">
        <v>101</v>
      </c>
      <c r="AU8" t="s">
        <v>126</v>
      </c>
      <c r="AV8" t="s">
        <v>78</v>
      </c>
      <c r="AW8" t="s">
        <v>276</v>
      </c>
    </row>
    <row r="9" spans="1:49" x14ac:dyDescent="0.25">
      <c r="A9" t="s">
        <v>1031</v>
      </c>
      <c r="B9" t="s">
        <v>149</v>
      </c>
      <c r="C9" t="s">
        <v>1032</v>
      </c>
      <c r="D9" t="s">
        <v>106</v>
      </c>
      <c r="E9" t="s">
        <v>1033</v>
      </c>
      <c r="F9" t="s">
        <v>1034</v>
      </c>
      <c r="G9" t="s">
        <v>1035</v>
      </c>
      <c r="H9" t="s">
        <v>1394</v>
      </c>
      <c r="I9">
        <v>68</v>
      </c>
      <c r="J9" t="s">
        <v>1036</v>
      </c>
      <c r="K9" t="s">
        <v>111</v>
      </c>
      <c r="L9">
        <v>3</v>
      </c>
      <c r="M9" t="s">
        <v>60</v>
      </c>
      <c r="N9" t="s">
        <v>156</v>
      </c>
      <c r="O9" t="s">
        <v>100</v>
      </c>
      <c r="P9" t="s">
        <v>331</v>
      </c>
      <c r="Q9" t="s">
        <v>204</v>
      </c>
      <c r="R9" t="s">
        <v>140</v>
      </c>
      <c r="S9" t="s">
        <v>141</v>
      </c>
      <c r="T9" t="s">
        <v>205</v>
      </c>
      <c r="U9" t="s">
        <v>341</v>
      </c>
      <c r="V9" t="s">
        <v>93</v>
      </c>
      <c r="W9">
        <v>27915</v>
      </c>
      <c r="X9">
        <v>27782</v>
      </c>
      <c r="Y9">
        <v>133</v>
      </c>
      <c r="Z9">
        <v>137</v>
      </c>
      <c r="AA9" t="s">
        <v>98</v>
      </c>
      <c r="AB9" t="s">
        <v>143</v>
      </c>
      <c r="AC9" t="s">
        <v>71</v>
      </c>
      <c r="AD9" t="s">
        <v>121</v>
      </c>
      <c r="AE9">
        <v>9</v>
      </c>
      <c r="AF9">
        <v>42</v>
      </c>
      <c r="AG9">
        <v>42</v>
      </c>
      <c r="AH9" t="s">
        <v>234</v>
      </c>
      <c r="AI9">
        <v>87</v>
      </c>
      <c r="AJ9">
        <v>45</v>
      </c>
      <c r="AK9">
        <v>34</v>
      </c>
      <c r="AM9">
        <v>75</v>
      </c>
      <c r="AN9" t="s">
        <v>70</v>
      </c>
      <c r="AO9">
        <v>4</v>
      </c>
      <c r="AP9">
        <v>4</v>
      </c>
      <c r="AQ9" t="s">
        <v>189</v>
      </c>
      <c r="AR9" t="s">
        <v>171</v>
      </c>
      <c r="AS9" t="s">
        <v>70</v>
      </c>
      <c r="AT9" t="s">
        <v>287</v>
      </c>
      <c r="AU9" t="s">
        <v>126</v>
      </c>
      <c r="AV9" t="s">
        <v>147</v>
      </c>
    </row>
    <row r="10" spans="1:49" x14ac:dyDescent="0.25">
      <c r="A10" t="s">
        <v>1037</v>
      </c>
      <c r="B10" t="s">
        <v>265</v>
      </c>
      <c r="C10" t="s">
        <v>1038</v>
      </c>
      <c r="D10" t="s">
        <v>130</v>
      </c>
      <c r="E10" t="s">
        <v>1039</v>
      </c>
      <c r="F10" t="s">
        <v>1040</v>
      </c>
      <c r="G10" t="s">
        <v>1041</v>
      </c>
      <c r="H10" t="s">
        <v>1394</v>
      </c>
      <c r="I10">
        <v>94</v>
      </c>
      <c r="J10" t="s">
        <v>1042</v>
      </c>
      <c r="K10" t="s">
        <v>59</v>
      </c>
      <c r="L10">
        <v>12</v>
      </c>
      <c r="M10" t="s">
        <v>60</v>
      </c>
      <c r="N10" t="s">
        <v>298</v>
      </c>
      <c r="O10" t="s">
        <v>1043</v>
      </c>
      <c r="P10" t="s">
        <v>331</v>
      </c>
      <c r="Q10" t="s">
        <v>64</v>
      </c>
      <c r="R10" t="s">
        <v>65</v>
      </c>
      <c r="S10" t="s">
        <v>117</v>
      </c>
      <c r="T10" t="s">
        <v>142</v>
      </c>
      <c r="U10" t="s">
        <v>395</v>
      </c>
      <c r="V10" t="s">
        <v>395</v>
      </c>
      <c r="W10">
        <v>18513</v>
      </c>
      <c r="X10">
        <v>18478</v>
      </c>
      <c r="Y10">
        <v>35</v>
      </c>
      <c r="Z10">
        <v>40</v>
      </c>
      <c r="AA10" t="s">
        <v>70</v>
      </c>
      <c r="AC10" t="s">
        <v>71</v>
      </c>
      <c r="AD10" t="s">
        <v>121</v>
      </c>
      <c r="AE10">
        <v>3</v>
      </c>
      <c r="AF10">
        <v>44</v>
      </c>
      <c r="AG10">
        <v>91</v>
      </c>
      <c r="AH10" t="s">
        <v>73</v>
      </c>
      <c r="AI10">
        <v>80</v>
      </c>
      <c r="AJ10">
        <v>41</v>
      </c>
      <c r="AK10">
        <v>37</v>
      </c>
      <c r="AM10">
        <v>90</v>
      </c>
      <c r="AN10" t="s">
        <v>98</v>
      </c>
      <c r="AO10">
        <v>5</v>
      </c>
      <c r="AP10">
        <v>3</v>
      </c>
      <c r="AQ10" t="s">
        <v>207</v>
      </c>
      <c r="AR10" t="s">
        <v>249</v>
      </c>
      <c r="AS10" t="s">
        <v>98</v>
      </c>
      <c r="AT10" t="s">
        <v>287</v>
      </c>
      <c r="AU10" t="s">
        <v>77</v>
      </c>
      <c r="AV10" t="s">
        <v>78</v>
      </c>
      <c r="AW10" t="s">
        <v>102</v>
      </c>
    </row>
    <row r="11" spans="1:49" x14ac:dyDescent="0.25">
      <c r="A11" t="s">
        <v>1044</v>
      </c>
      <c r="B11" t="s">
        <v>1336</v>
      </c>
      <c r="C11" t="s">
        <v>1045</v>
      </c>
      <c r="D11" t="s">
        <v>106</v>
      </c>
      <c r="E11" t="s">
        <v>1046</v>
      </c>
      <c r="F11" t="s">
        <v>1047</v>
      </c>
      <c r="G11" t="s">
        <v>1048</v>
      </c>
      <c r="H11" t="s">
        <v>1395</v>
      </c>
      <c r="I11">
        <v>62</v>
      </c>
      <c r="J11" t="s">
        <v>1049</v>
      </c>
      <c r="K11" t="s">
        <v>111</v>
      </c>
      <c r="L11">
        <v>3</v>
      </c>
      <c r="M11" t="s">
        <v>89</v>
      </c>
      <c r="N11" t="s">
        <v>247</v>
      </c>
      <c r="O11" t="s">
        <v>99</v>
      </c>
      <c r="P11" t="s">
        <v>371</v>
      </c>
      <c r="Q11" t="s">
        <v>64</v>
      </c>
      <c r="R11" t="s">
        <v>65</v>
      </c>
      <c r="S11" t="s">
        <v>141</v>
      </c>
      <c r="T11" t="s">
        <v>273</v>
      </c>
      <c r="U11" t="s">
        <v>597</v>
      </c>
      <c r="V11" t="s">
        <v>247</v>
      </c>
      <c r="W11">
        <v>34735</v>
      </c>
      <c r="X11">
        <v>32586</v>
      </c>
      <c r="Y11">
        <v>2149</v>
      </c>
      <c r="Z11">
        <v>2851</v>
      </c>
      <c r="AA11" t="s">
        <v>70</v>
      </c>
      <c r="AC11" t="s">
        <v>71</v>
      </c>
      <c r="AD11" t="s">
        <v>95</v>
      </c>
      <c r="AE11">
        <v>1</v>
      </c>
      <c r="AF11">
        <v>69</v>
      </c>
      <c r="AG11">
        <v>78</v>
      </c>
      <c r="AH11" t="s">
        <v>73</v>
      </c>
      <c r="AI11">
        <v>85</v>
      </c>
      <c r="AJ11">
        <v>53</v>
      </c>
      <c r="AK11">
        <v>31</v>
      </c>
      <c r="AL11" t="s">
        <v>97</v>
      </c>
      <c r="AM11">
        <v>58</v>
      </c>
      <c r="AN11" t="s">
        <v>70</v>
      </c>
      <c r="AO11">
        <v>3</v>
      </c>
      <c r="AP11">
        <v>2</v>
      </c>
      <c r="AQ11" t="s">
        <v>382</v>
      </c>
      <c r="AR11" t="s">
        <v>275</v>
      </c>
      <c r="AS11" t="s">
        <v>98</v>
      </c>
      <c r="AT11" t="s">
        <v>177</v>
      </c>
      <c r="AU11" t="s">
        <v>126</v>
      </c>
      <c r="AV11" t="s">
        <v>147</v>
      </c>
    </row>
    <row r="12" spans="1:49" x14ac:dyDescent="0.25">
      <c r="A12" t="s">
        <v>1050</v>
      </c>
      <c r="B12" t="s">
        <v>181</v>
      </c>
      <c r="C12" t="s">
        <v>1051</v>
      </c>
      <c r="D12" t="s">
        <v>106</v>
      </c>
      <c r="E12" t="s">
        <v>1052</v>
      </c>
      <c r="F12" t="s">
        <v>1053</v>
      </c>
      <c r="G12" t="s">
        <v>1054</v>
      </c>
      <c r="H12" t="s">
        <v>1394</v>
      </c>
      <c r="I12">
        <v>63</v>
      </c>
      <c r="J12" t="s">
        <v>1055</v>
      </c>
      <c r="K12" t="s">
        <v>59</v>
      </c>
      <c r="L12">
        <v>6</v>
      </c>
      <c r="M12" t="s">
        <v>112</v>
      </c>
      <c r="N12" t="s">
        <v>449</v>
      </c>
      <c r="O12" t="s">
        <v>417</v>
      </c>
      <c r="P12" t="s">
        <v>371</v>
      </c>
      <c r="Q12" t="s">
        <v>116</v>
      </c>
      <c r="R12" t="s">
        <v>140</v>
      </c>
      <c r="S12" t="s">
        <v>117</v>
      </c>
      <c r="T12" t="s">
        <v>118</v>
      </c>
      <c r="U12" t="s">
        <v>440</v>
      </c>
      <c r="V12" t="s">
        <v>440</v>
      </c>
      <c r="W12">
        <v>25073</v>
      </c>
      <c r="X12">
        <v>22507</v>
      </c>
      <c r="Y12">
        <v>2566</v>
      </c>
      <c r="Z12">
        <v>2622</v>
      </c>
      <c r="AA12" t="s">
        <v>70</v>
      </c>
      <c r="AC12" t="s">
        <v>71</v>
      </c>
      <c r="AD12" t="s">
        <v>191</v>
      </c>
      <c r="AE12">
        <v>6</v>
      </c>
      <c r="AF12">
        <v>81</v>
      </c>
      <c r="AG12">
        <v>81</v>
      </c>
      <c r="AH12" t="s">
        <v>234</v>
      </c>
      <c r="AI12">
        <v>94</v>
      </c>
      <c r="AJ12">
        <v>31</v>
      </c>
      <c r="AK12">
        <v>19</v>
      </c>
      <c r="AL12" t="s">
        <v>122</v>
      </c>
      <c r="AM12">
        <v>61</v>
      </c>
      <c r="AN12" t="s">
        <v>98</v>
      </c>
      <c r="AO12">
        <v>5</v>
      </c>
      <c r="AP12">
        <v>4</v>
      </c>
      <c r="AQ12" t="s">
        <v>926</v>
      </c>
      <c r="AR12" t="s">
        <v>632</v>
      </c>
      <c r="AS12" t="s">
        <v>70</v>
      </c>
      <c r="AT12" t="s">
        <v>76</v>
      </c>
      <c r="AU12" t="s">
        <v>160</v>
      </c>
      <c r="AV12" t="s">
        <v>78</v>
      </c>
      <c r="AW12" t="s">
        <v>79</v>
      </c>
    </row>
    <row r="13" spans="1:49" x14ac:dyDescent="0.25">
      <c r="A13" t="s">
        <v>1056</v>
      </c>
      <c r="B13" t="s">
        <v>1335</v>
      </c>
      <c r="C13" t="s">
        <v>1057</v>
      </c>
      <c r="D13" t="s">
        <v>52</v>
      </c>
      <c r="E13" t="s">
        <v>1058</v>
      </c>
      <c r="F13" t="s">
        <v>1059</v>
      </c>
      <c r="G13" t="s">
        <v>1060</v>
      </c>
      <c r="H13" t="s">
        <v>87</v>
      </c>
      <c r="I13">
        <v>74</v>
      </c>
      <c r="J13" t="s">
        <v>1061</v>
      </c>
      <c r="K13" t="s">
        <v>111</v>
      </c>
      <c r="L13">
        <v>3</v>
      </c>
      <c r="M13" t="s">
        <v>89</v>
      </c>
      <c r="N13" t="s">
        <v>137</v>
      </c>
      <c r="O13" t="s">
        <v>926</v>
      </c>
      <c r="P13" t="s">
        <v>396</v>
      </c>
      <c r="Q13" t="s">
        <v>64</v>
      </c>
      <c r="R13" t="s">
        <v>140</v>
      </c>
      <c r="S13" t="s">
        <v>66</v>
      </c>
      <c r="T13" t="s">
        <v>67</v>
      </c>
      <c r="U13" t="s">
        <v>484</v>
      </c>
      <c r="V13" t="s">
        <v>1062</v>
      </c>
      <c r="W13">
        <v>47190</v>
      </c>
      <c r="X13">
        <v>43083</v>
      </c>
      <c r="Y13">
        <v>4107</v>
      </c>
      <c r="Z13">
        <v>4422</v>
      </c>
      <c r="AA13" t="s">
        <v>98</v>
      </c>
      <c r="AB13" t="s">
        <v>361</v>
      </c>
      <c r="AC13" t="s">
        <v>71</v>
      </c>
      <c r="AD13" t="s">
        <v>191</v>
      </c>
      <c r="AE13">
        <v>7</v>
      </c>
      <c r="AF13">
        <v>60</v>
      </c>
      <c r="AG13">
        <v>77</v>
      </c>
      <c r="AH13" t="s">
        <v>73</v>
      </c>
      <c r="AI13">
        <v>97</v>
      </c>
      <c r="AJ13">
        <v>27</v>
      </c>
      <c r="AK13">
        <v>24</v>
      </c>
      <c r="AL13" t="s">
        <v>97</v>
      </c>
      <c r="AM13">
        <v>88</v>
      </c>
      <c r="AN13" t="s">
        <v>70</v>
      </c>
      <c r="AO13">
        <v>5</v>
      </c>
      <c r="AP13">
        <v>1</v>
      </c>
      <c r="AQ13" t="s">
        <v>666</v>
      </c>
      <c r="AR13" t="s">
        <v>93</v>
      </c>
      <c r="AS13" t="s">
        <v>70</v>
      </c>
      <c r="AT13" t="s">
        <v>287</v>
      </c>
      <c r="AU13" t="s">
        <v>77</v>
      </c>
      <c r="AV13" t="s">
        <v>78</v>
      </c>
      <c r="AW13" t="s">
        <v>102</v>
      </c>
    </row>
    <row r="14" spans="1:49" x14ac:dyDescent="0.25">
      <c r="A14" t="s">
        <v>1063</v>
      </c>
      <c r="B14" t="s">
        <v>1334</v>
      </c>
      <c r="C14" t="s">
        <v>1064</v>
      </c>
      <c r="D14" t="s">
        <v>52</v>
      </c>
      <c r="E14" t="s">
        <v>1065</v>
      </c>
      <c r="F14" t="s">
        <v>1066</v>
      </c>
      <c r="G14" t="s">
        <v>1067</v>
      </c>
      <c r="H14" t="s">
        <v>57</v>
      </c>
      <c r="I14">
        <v>91</v>
      </c>
      <c r="J14" t="s">
        <v>1068</v>
      </c>
      <c r="K14" t="s">
        <v>111</v>
      </c>
      <c r="L14">
        <v>3</v>
      </c>
      <c r="M14" t="s">
        <v>89</v>
      </c>
      <c r="N14" t="s">
        <v>137</v>
      </c>
      <c r="O14" t="s">
        <v>926</v>
      </c>
      <c r="P14" t="s">
        <v>524</v>
      </c>
      <c r="Q14" t="s">
        <v>116</v>
      </c>
      <c r="R14" t="s">
        <v>140</v>
      </c>
      <c r="S14" t="s">
        <v>66</v>
      </c>
      <c r="T14" t="s">
        <v>118</v>
      </c>
      <c r="U14" t="s">
        <v>157</v>
      </c>
      <c r="V14" t="s">
        <v>535</v>
      </c>
      <c r="W14">
        <v>20036</v>
      </c>
      <c r="X14">
        <v>19390</v>
      </c>
      <c r="Y14">
        <v>646</v>
      </c>
      <c r="Z14">
        <v>2832</v>
      </c>
      <c r="AA14" t="s">
        <v>98</v>
      </c>
      <c r="AB14" t="s">
        <v>174</v>
      </c>
      <c r="AC14" t="s">
        <v>71</v>
      </c>
      <c r="AD14" t="s">
        <v>191</v>
      </c>
      <c r="AE14">
        <v>5</v>
      </c>
      <c r="AF14">
        <v>86</v>
      </c>
      <c r="AG14">
        <v>90</v>
      </c>
      <c r="AH14" t="s">
        <v>96</v>
      </c>
      <c r="AI14">
        <v>70</v>
      </c>
      <c r="AJ14">
        <v>31</v>
      </c>
      <c r="AK14">
        <v>21</v>
      </c>
      <c r="AM14">
        <v>67</v>
      </c>
      <c r="AN14" t="s">
        <v>70</v>
      </c>
      <c r="AO14">
        <v>2</v>
      </c>
      <c r="AP14">
        <v>4</v>
      </c>
      <c r="AQ14" t="s">
        <v>428</v>
      </c>
      <c r="AR14" t="s">
        <v>1069</v>
      </c>
      <c r="AS14" t="s">
        <v>70</v>
      </c>
      <c r="AT14" t="s">
        <v>101</v>
      </c>
      <c r="AU14" t="s">
        <v>160</v>
      </c>
      <c r="AV14" t="s">
        <v>78</v>
      </c>
      <c r="AW14" t="s">
        <v>79</v>
      </c>
    </row>
    <row r="15" spans="1:49" x14ac:dyDescent="0.25">
      <c r="A15" t="s">
        <v>1070</v>
      </c>
      <c r="B15" t="s">
        <v>799</v>
      </c>
      <c r="C15" t="s">
        <v>1071</v>
      </c>
      <c r="D15" t="s">
        <v>52</v>
      </c>
      <c r="E15" t="s">
        <v>1072</v>
      </c>
      <c r="F15" t="s">
        <v>1073</v>
      </c>
      <c r="G15" t="s">
        <v>1074</v>
      </c>
      <c r="H15" t="s">
        <v>57</v>
      </c>
      <c r="I15">
        <v>87</v>
      </c>
      <c r="J15" t="s">
        <v>1075</v>
      </c>
      <c r="K15" t="s">
        <v>169</v>
      </c>
      <c r="L15">
        <v>6</v>
      </c>
      <c r="M15" t="s">
        <v>89</v>
      </c>
      <c r="N15" t="s">
        <v>246</v>
      </c>
      <c r="O15" t="s">
        <v>679</v>
      </c>
      <c r="P15" t="s">
        <v>331</v>
      </c>
      <c r="Q15" t="s">
        <v>204</v>
      </c>
      <c r="R15" t="s">
        <v>65</v>
      </c>
      <c r="S15" t="s">
        <v>232</v>
      </c>
      <c r="T15" t="s">
        <v>118</v>
      </c>
      <c r="U15" t="s">
        <v>1076</v>
      </c>
      <c r="V15" t="s">
        <v>1076</v>
      </c>
      <c r="W15">
        <v>34689</v>
      </c>
      <c r="X15">
        <v>32835</v>
      </c>
      <c r="Y15">
        <v>1854</v>
      </c>
      <c r="Z15">
        <v>2454</v>
      </c>
      <c r="AA15" t="s">
        <v>70</v>
      </c>
      <c r="AC15" t="s">
        <v>71</v>
      </c>
      <c r="AD15" t="s">
        <v>95</v>
      </c>
      <c r="AE15">
        <v>10</v>
      </c>
      <c r="AF15">
        <v>41</v>
      </c>
      <c r="AG15">
        <v>58</v>
      </c>
      <c r="AH15" t="s">
        <v>96</v>
      </c>
      <c r="AI15">
        <v>73</v>
      </c>
      <c r="AJ15">
        <v>27</v>
      </c>
      <c r="AK15">
        <v>26</v>
      </c>
      <c r="AM15">
        <v>96</v>
      </c>
      <c r="AN15" t="s">
        <v>70</v>
      </c>
      <c r="AO15">
        <v>1</v>
      </c>
      <c r="AP15">
        <v>3</v>
      </c>
      <c r="AQ15" t="s">
        <v>94</v>
      </c>
      <c r="AR15" t="s">
        <v>727</v>
      </c>
      <c r="AS15" t="s">
        <v>98</v>
      </c>
      <c r="AT15" t="s">
        <v>101</v>
      </c>
      <c r="AU15" t="s">
        <v>126</v>
      </c>
      <c r="AV15" t="s">
        <v>147</v>
      </c>
    </row>
    <row r="16" spans="1:49" x14ac:dyDescent="0.25">
      <c r="A16" t="s">
        <v>1077</v>
      </c>
      <c r="B16" t="s">
        <v>1330</v>
      </c>
      <c r="C16" t="s">
        <v>1078</v>
      </c>
      <c r="D16" t="s">
        <v>130</v>
      </c>
      <c r="E16" t="s">
        <v>1079</v>
      </c>
      <c r="F16" t="s">
        <v>1080</v>
      </c>
      <c r="G16" t="s">
        <v>1081</v>
      </c>
      <c r="H16" t="s">
        <v>1394</v>
      </c>
      <c r="I16">
        <v>92</v>
      </c>
      <c r="J16" t="s">
        <v>1082</v>
      </c>
      <c r="K16" t="s">
        <v>59</v>
      </c>
      <c r="L16">
        <v>6</v>
      </c>
      <c r="M16" t="s">
        <v>112</v>
      </c>
      <c r="N16" t="s">
        <v>457</v>
      </c>
      <c r="O16" t="s">
        <v>868</v>
      </c>
      <c r="P16" t="s">
        <v>245</v>
      </c>
      <c r="Q16" t="s">
        <v>204</v>
      </c>
      <c r="R16" t="s">
        <v>140</v>
      </c>
      <c r="S16" t="s">
        <v>141</v>
      </c>
      <c r="T16" t="s">
        <v>142</v>
      </c>
      <c r="U16" t="s">
        <v>476</v>
      </c>
      <c r="V16" t="s">
        <v>385</v>
      </c>
      <c r="W16">
        <v>40538</v>
      </c>
      <c r="X16">
        <v>39809</v>
      </c>
      <c r="Y16">
        <v>729</v>
      </c>
      <c r="Z16">
        <v>2035</v>
      </c>
      <c r="AA16" t="s">
        <v>70</v>
      </c>
      <c r="AC16" t="s">
        <v>71</v>
      </c>
      <c r="AD16" t="s">
        <v>191</v>
      </c>
      <c r="AE16">
        <v>9</v>
      </c>
      <c r="AF16">
        <v>47</v>
      </c>
      <c r="AG16">
        <v>63</v>
      </c>
      <c r="AH16" t="s">
        <v>73</v>
      </c>
      <c r="AI16">
        <v>78</v>
      </c>
      <c r="AJ16">
        <v>48</v>
      </c>
      <c r="AK16">
        <v>27</v>
      </c>
      <c r="AL16" t="s">
        <v>97</v>
      </c>
      <c r="AM16">
        <v>56</v>
      </c>
      <c r="AN16" t="s">
        <v>98</v>
      </c>
      <c r="AO16">
        <v>5</v>
      </c>
      <c r="AP16">
        <v>4</v>
      </c>
      <c r="AQ16" t="s">
        <v>450</v>
      </c>
      <c r="AR16" t="s">
        <v>696</v>
      </c>
      <c r="AS16" t="s">
        <v>70</v>
      </c>
      <c r="AT16" t="s">
        <v>287</v>
      </c>
      <c r="AU16" t="s">
        <v>160</v>
      </c>
      <c r="AV16" t="s">
        <v>147</v>
      </c>
    </row>
    <row r="17" spans="1:49" x14ac:dyDescent="0.25">
      <c r="A17" t="s">
        <v>1083</v>
      </c>
      <c r="B17" t="s">
        <v>1331</v>
      </c>
      <c r="C17" t="s">
        <v>1084</v>
      </c>
      <c r="D17" t="s">
        <v>52</v>
      </c>
      <c r="E17" t="s">
        <v>1085</v>
      </c>
      <c r="F17" t="s">
        <v>1086</v>
      </c>
      <c r="G17" t="s">
        <v>1087</v>
      </c>
      <c r="H17" t="s">
        <v>1394</v>
      </c>
      <c r="I17">
        <v>62</v>
      </c>
      <c r="J17" t="s">
        <v>1088</v>
      </c>
      <c r="K17" t="s">
        <v>169</v>
      </c>
      <c r="L17">
        <v>12</v>
      </c>
      <c r="M17" t="s">
        <v>112</v>
      </c>
      <c r="N17" t="s">
        <v>1089</v>
      </c>
      <c r="O17" t="s">
        <v>1090</v>
      </c>
      <c r="P17" t="s">
        <v>559</v>
      </c>
      <c r="Q17" t="s">
        <v>116</v>
      </c>
      <c r="R17" t="s">
        <v>140</v>
      </c>
      <c r="S17" t="s">
        <v>117</v>
      </c>
      <c r="T17" t="s">
        <v>67</v>
      </c>
      <c r="U17" t="s">
        <v>854</v>
      </c>
      <c r="V17" t="s">
        <v>157</v>
      </c>
      <c r="W17">
        <v>37355</v>
      </c>
      <c r="X17">
        <v>36312</v>
      </c>
      <c r="Y17">
        <v>1043</v>
      </c>
      <c r="Z17">
        <v>1260</v>
      </c>
      <c r="AA17" t="s">
        <v>70</v>
      </c>
      <c r="AC17" t="s">
        <v>71</v>
      </c>
      <c r="AD17" t="s">
        <v>121</v>
      </c>
      <c r="AE17">
        <v>4</v>
      </c>
      <c r="AF17">
        <v>67</v>
      </c>
      <c r="AG17">
        <v>81</v>
      </c>
      <c r="AH17" t="s">
        <v>234</v>
      </c>
      <c r="AI17">
        <v>87</v>
      </c>
      <c r="AJ17">
        <v>59</v>
      </c>
      <c r="AK17">
        <v>31</v>
      </c>
      <c r="AL17" t="s">
        <v>122</v>
      </c>
      <c r="AM17">
        <v>52</v>
      </c>
      <c r="AN17" t="s">
        <v>70</v>
      </c>
      <c r="AO17">
        <v>5</v>
      </c>
      <c r="AP17">
        <v>5</v>
      </c>
      <c r="AQ17" t="s">
        <v>275</v>
      </c>
      <c r="AR17" t="s">
        <v>158</v>
      </c>
      <c r="AS17" t="s">
        <v>98</v>
      </c>
      <c r="AT17" t="s">
        <v>177</v>
      </c>
      <c r="AU17" t="s">
        <v>126</v>
      </c>
      <c r="AV17" t="s">
        <v>78</v>
      </c>
      <c r="AW17" t="s">
        <v>79</v>
      </c>
    </row>
    <row r="18" spans="1:49" x14ac:dyDescent="0.25">
      <c r="A18" t="s">
        <v>1091</v>
      </c>
      <c r="B18" t="s">
        <v>104</v>
      </c>
      <c r="C18" t="s">
        <v>1092</v>
      </c>
      <c r="D18" t="s">
        <v>106</v>
      </c>
      <c r="E18" t="s">
        <v>1093</v>
      </c>
      <c r="F18" t="s">
        <v>1094</v>
      </c>
      <c r="G18" t="s">
        <v>1095</v>
      </c>
      <c r="H18" t="s">
        <v>135</v>
      </c>
      <c r="I18">
        <v>60</v>
      </c>
      <c r="J18" t="s">
        <v>1096</v>
      </c>
      <c r="K18" t="s">
        <v>242</v>
      </c>
      <c r="L18">
        <v>6</v>
      </c>
      <c r="M18" t="s">
        <v>89</v>
      </c>
      <c r="N18" t="s">
        <v>714</v>
      </c>
      <c r="O18" t="s">
        <v>1097</v>
      </c>
      <c r="P18" t="s">
        <v>139</v>
      </c>
      <c r="Q18" t="s">
        <v>116</v>
      </c>
      <c r="R18" t="s">
        <v>140</v>
      </c>
      <c r="S18" t="s">
        <v>232</v>
      </c>
      <c r="T18" t="s">
        <v>142</v>
      </c>
      <c r="U18" t="s">
        <v>1098</v>
      </c>
      <c r="V18" t="s">
        <v>360</v>
      </c>
      <c r="W18">
        <v>31539</v>
      </c>
      <c r="X18">
        <v>30952</v>
      </c>
      <c r="Y18">
        <v>587</v>
      </c>
      <c r="Z18">
        <v>4920</v>
      </c>
      <c r="AA18" t="s">
        <v>70</v>
      </c>
      <c r="AC18" t="s">
        <v>71</v>
      </c>
      <c r="AD18" t="s">
        <v>95</v>
      </c>
      <c r="AE18">
        <v>9</v>
      </c>
      <c r="AF18">
        <v>70</v>
      </c>
      <c r="AG18">
        <v>84</v>
      </c>
      <c r="AH18" t="s">
        <v>96</v>
      </c>
      <c r="AI18">
        <v>69</v>
      </c>
      <c r="AJ18">
        <v>53</v>
      </c>
      <c r="AK18">
        <v>18</v>
      </c>
      <c r="AL18" t="s">
        <v>122</v>
      </c>
      <c r="AM18">
        <v>33</v>
      </c>
      <c r="AN18" t="s">
        <v>98</v>
      </c>
      <c r="AO18">
        <v>4</v>
      </c>
      <c r="AP18">
        <v>3</v>
      </c>
      <c r="AQ18" t="s">
        <v>94</v>
      </c>
      <c r="AR18" t="s">
        <v>633</v>
      </c>
      <c r="AS18" t="s">
        <v>98</v>
      </c>
      <c r="AT18" t="s">
        <v>287</v>
      </c>
      <c r="AU18" t="s">
        <v>126</v>
      </c>
      <c r="AV18" t="s">
        <v>147</v>
      </c>
    </row>
    <row r="19" spans="1:49" x14ac:dyDescent="0.25">
      <c r="A19" t="s">
        <v>1099</v>
      </c>
      <c r="B19" t="s">
        <v>700</v>
      </c>
      <c r="C19" t="s">
        <v>1100</v>
      </c>
      <c r="D19" t="s">
        <v>106</v>
      </c>
      <c r="E19" t="s">
        <v>1101</v>
      </c>
      <c r="F19" t="s">
        <v>1102</v>
      </c>
      <c r="G19" t="s">
        <v>1103</v>
      </c>
      <c r="H19" t="s">
        <v>1395</v>
      </c>
      <c r="I19">
        <v>81</v>
      </c>
      <c r="J19" t="s">
        <v>1104</v>
      </c>
      <c r="K19" t="s">
        <v>294</v>
      </c>
      <c r="L19">
        <v>6</v>
      </c>
      <c r="M19" t="s">
        <v>112</v>
      </c>
      <c r="N19" t="s">
        <v>271</v>
      </c>
      <c r="O19" t="s">
        <v>1105</v>
      </c>
      <c r="P19" t="s">
        <v>524</v>
      </c>
      <c r="Q19" t="s">
        <v>116</v>
      </c>
      <c r="R19" t="s">
        <v>140</v>
      </c>
      <c r="S19" t="s">
        <v>219</v>
      </c>
      <c r="T19" t="s">
        <v>118</v>
      </c>
      <c r="U19" t="s">
        <v>416</v>
      </c>
      <c r="V19" t="s">
        <v>633</v>
      </c>
      <c r="W19">
        <v>21085</v>
      </c>
      <c r="X19">
        <v>17789</v>
      </c>
      <c r="Y19">
        <v>3296</v>
      </c>
      <c r="Z19">
        <v>4095</v>
      </c>
      <c r="AA19" t="s">
        <v>70</v>
      </c>
      <c r="AC19" t="s">
        <v>71</v>
      </c>
      <c r="AD19" t="s">
        <v>121</v>
      </c>
      <c r="AE19">
        <v>1</v>
      </c>
      <c r="AF19">
        <v>68</v>
      </c>
      <c r="AG19">
        <v>83</v>
      </c>
      <c r="AH19" t="s">
        <v>234</v>
      </c>
      <c r="AI19">
        <v>61</v>
      </c>
      <c r="AJ19">
        <v>49</v>
      </c>
      <c r="AK19">
        <v>47</v>
      </c>
      <c r="AM19">
        <v>95</v>
      </c>
      <c r="AN19" t="s">
        <v>70</v>
      </c>
      <c r="AO19">
        <v>4</v>
      </c>
      <c r="AP19">
        <v>2</v>
      </c>
      <c r="AQ19" t="s">
        <v>728</v>
      </c>
      <c r="AR19" t="s">
        <v>124</v>
      </c>
      <c r="AS19" t="s">
        <v>98</v>
      </c>
      <c r="AT19" t="s">
        <v>177</v>
      </c>
      <c r="AU19" t="s">
        <v>126</v>
      </c>
      <c r="AV19" t="s">
        <v>147</v>
      </c>
    </row>
    <row r="20" spans="1:49" x14ac:dyDescent="0.25">
      <c r="A20" t="s">
        <v>1106</v>
      </c>
      <c r="B20" t="s">
        <v>1332</v>
      </c>
      <c r="C20" t="s">
        <v>1107</v>
      </c>
      <c r="D20" t="s">
        <v>130</v>
      </c>
      <c r="E20" t="s">
        <v>1108</v>
      </c>
      <c r="F20" t="s">
        <v>1109</v>
      </c>
      <c r="G20" t="s">
        <v>1110</v>
      </c>
      <c r="H20" t="s">
        <v>1394</v>
      </c>
      <c r="I20">
        <v>75</v>
      </c>
      <c r="J20" t="s">
        <v>1111</v>
      </c>
      <c r="K20" t="s">
        <v>111</v>
      </c>
      <c r="L20">
        <v>3</v>
      </c>
      <c r="M20" t="s">
        <v>112</v>
      </c>
      <c r="N20" t="s">
        <v>824</v>
      </c>
      <c r="O20" t="s">
        <v>286</v>
      </c>
      <c r="P20" t="s">
        <v>396</v>
      </c>
      <c r="Q20" t="s">
        <v>204</v>
      </c>
      <c r="R20" t="s">
        <v>65</v>
      </c>
      <c r="S20" t="s">
        <v>219</v>
      </c>
      <c r="T20" t="s">
        <v>118</v>
      </c>
      <c r="U20" t="s">
        <v>854</v>
      </c>
      <c r="V20" t="s">
        <v>535</v>
      </c>
      <c r="W20">
        <v>34781</v>
      </c>
      <c r="X20">
        <v>31694</v>
      </c>
      <c r="Y20">
        <v>3087</v>
      </c>
      <c r="Z20">
        <v>3160</v>
      </c>
      <c r="AA20" t="s">
        <v>98</v>
      </c>
      <c r="AB20" t="s">
        <v>286</v>
      </c>
      <c r="AC20" t="s">
        <v>71</v>
      </c>
      <c r="AD20" t="s">
        <v>72</v>
      </c>
      <c r="AE20">
        <v>8</v>
      </c>
      <c r="AF20">
        <v>41</v>
      </c>
      <c r="AG20">
        <v>53</v>
      </c>
      <c r="AH20" t="s">
        <v>73</v>
      </c>
      <c r="AI20">
        <v>63</v>
      </c>
      <c r="AJ20">
        <v>47</v>
      </c>
      <c r="AK20">
        <v>29</v>
      </c>
      <c r="AL20" t="s">
        <v>97</v>
      </c>
      <c r="AM20">
        <v>61</v>
      </c>
      <c r="AN20" t="s">
        <v>98</v>
      </c>
      <c r="AO20">
        <v>2</v>
      </c>
      <c r="AP20">
        <v>3</v>
      </c>
      <c r="AQ20" t="s">
        <v>174</v>
      </c>
      <c r="AR20" t="s">
        <v>351</v>
      </c>
      <c r="AS20" t="s">
        <v>70</v>
      </c>
      <c r="AT20" t="s">
        <v>101</v>
      </c>
      <c r="AU20" t="s">
        <v>160</v>
      </c>
      <c r="AV20" t="s">
        <v>147</v>
      </c>
    </row>
    <row r="21" spans="1:49" x14ac:dyDescent="0.25">
      <c r="A21" t="s">
        <v>1112</v>
      </c>
      <c r="B21" t="s">
        <v>313</v>
      </c>
      <c r="C21" t="s">
        <v>1113</v>
      </c>
      <c r="D21" t="s">
        <v>106</v>
      </c>
      <c r="E21" t="s">
        <v>1114</v>
      </c>
      <c r="F21" t="s">
        <v>1115</v>
      </c>
      <c r="G21" t="s">
        <v>1116</v>
      </c>
      <c r="H21" t="s">
        <v>1395</v>
      </c>
      <c r="I21">
        <v>61</v>
      </c>
      <c r="J21" t="s">
        <v>1117</v>
      </c>
      <c r="K21" t="s">
        <v>111</v>
      </c>
      <c r="L21">
        <v>6</v>
      </c>
      <c r="M21" t="s">
        <v>89</v>
      </c>
      <c r="N21" t="s">
        <v>551</v>
      </c>
      <c r="O21" t="s">
        <v>1118</v>
      </c>
      <c r="P21" t="s">
        <v>285</v>
      </c>
      <c r="Q21" t="s">
        <v>64</v>
      </c>
      <c r="R21" t="s">
        <v>65</v>
      </c>
      <c r="S21" t="s">
        <v>66</v>
      </c>
      <c r="T21" t="s">
        <v>142</v>
      </c>
      <c r="U21" t="s">
        <v>900</v>
      </c>
      <c r="V21" t="s">
        <v>159</v>
      </c>
      <c r="W21">
        <v>43431</v>
      </c>
      <c r="X21">
        <v>42958</v>
      </c>
      <c r="Y21">
        <v>473</v>
      </c>
      <c r="Z21">
        <v>2083</v>
      </c>
      <c r="AA21" t="s">
        <v>98</v>
      </c>
      <c r="AB21" t="s">
        <v>145</v>
      </c>
      <c r="AC21" t="s">
        <v>71</v>
      </c>
      <c r="AD21" t="s">
        <v>191</v>
      </c>
      <c r="AE21">
        <v>4</v>
      </c>
      <c r="AF21">
        <v>50</v>
      </c>
      <c r="AG21">
        <v>79</v>
      </c>
      <c r="AH21" t="s">
        <v>96</v>
      </c>
      <c r="AI21">
        <v>78</v>
      </c>
      <c r="AJ21">
        <v>43</v>
      </c>
      <c r="AK21">
        <v>22</v>
      </c>
      <c r="AL21" t="s">
        <v>122</v>
      </c>
      <c r="AM21">
        <v>51</v>
      </c>
      <c r="AN21" t="s">
        <v>70</v>
      </c>
      <c r="AO21">
        <v>1</v>
      </c>
      <c r="AP21">
        <v>5</v>
      </c>
      <c r="AQ21" t="s">
        <v>1119</v>
      </c>
      <c r="AR21" t="s">
        <v>427</v>
      </c>
      <c r="AS21" t="s">
        <v>98</v>
      </c>
      <c r="AT21" t="s">
        <v>101</v>
      </c>
      <c r="AU21" t="s">
        <v>77</v>
      </c>
      <c r="AV21" t="s">
        <v>78</v>
      </c>
      <c r="AW21" t="s">
        <v>79</v>
      </c>
    </row>
    <row r="22" spans="1:49" x14ac:dyDescent="0.25">
      <c r="A22" t="s">
        <v>1120</v>
      </c>
      <c r="B22" t="s">
        <v>1333</v>
      </c>
      <c r="C22" t="s">
        <v>543</v>
      </c>
      <c r="D22" t="s">
        <v>106</v>
      </c>
      <c r="E22" t="s">
        <v>1121</v>
      </c>
      <c r="F22" t="s">
        <v>1122</v>
      </c>
      <c r="G22" t="s">
        <v>1123</v>
      </c>
      <c r="H22" t="s">
        <v>1395</v>
      </c>
      <c r="I22">
        <v>82</v>
      </c>
      <c r="J22" t="s">
        <v>1124</v>
      </c>
      <c r="K22" t="s">
        <v>294</v>
      </c>
      <c r="L22">
        <v>3</v>
      </c>
      <c r="M22" t="s">
        <v>89</v>
      </c>
      <c r="N22" t="s">
        <v>1076</v>
      </c>
      <c r="O22" t="s">
        <v>696</v>
      </c>
      <c r="P22" t="s">
        <v>384</v>
      </c>
      <c r="Q22" t="s">
        <v>116</v>
      </c>
      <c r="R22" t="s">
        <v>140</v>
      </c>
      <c r="S22" t="s">
        <v>219</v>
      </c>
      <c r="T22" t="s">
        <v>273</v>
      </c>
      <c r="U22" t="s">
        <v>217</v>
      </c>
      <c r="V22" t="s">
        <v>220</v>
      </c>
      <c r="W22">
        <v>16271</v>
      </c>
      <c r="X22">
        <v>16067</v>
      </c>
      <c r="Y22">
        <v>204</v>
      </c>
      <c r="Z22">
        <v>293</v>
      </c>
      <c r="AA22" t="s">
        <v>98</v>
      </c>
      <c r="AB22" t="s">
        <v>275</v>
      </c>
      <c r="AC22" t="s">
        <v>71</v>
      </c>
      <c r="AD22" t="s">
        <v>191</v>
      </c>
      <c r="AE22">
        <v>1</v>
      </c>
      <c r="AF22">
        <v>83</v>
      </c>
      <c r="AG22">
        <v>86</v>
      </c>
      <c r="AH22" t="s">
        <v>73</v>
      </c>
      <c r="AI22">
        <v>99</v>
      </c>
      <c r="AJ22">
        <v>47</v>
      </c>
      <c r="AK22">
        <v>39</v>
      </c>
      <c r="AL22" t="s">
        <v>122</v>
      </c>
      <c r="AM22">
        <v>82</v>
      </c>
      <c r="AN22" t="s">
        <v>98</v>
      </c>
      <c r="AO22">
        <v>5</v>
      </c>
      <c r="AP22">
        <v>4</v>
      </c>
      <c r="AQ22" t="s">
        <v>567</v>
      </c>
      <c r="AR22" t="s">
        <v>144</v>
      </c>
      <c r="AS22" t="s">
        <v>98</v>
      </c>
      <c r="AT22" t="s">
        <v>177</v>
      </c>
      <c r="AU22" t="s">
        <v>160</v>
      </c>
      <c r="AV22" t="s">
        <v>147</v>
      </c>
    </row>
    <row r="23" spans="1:49" x14ac:dyDescent="0.25">
      <c r="A23" t="s">
        <v>1125</v>
      </c>
      <c r="B23" t="s">
        <v>251</v>
      </c>
      <c r="C23" t="s">
        <v>1126</v>
      </c>
      <c r="D23" t="s">
        <v>52</v>
      </c>
      <c r="E23" t="s">
        <v>1127</v>
      </c>
      <c r="F23" t="s">
        <v>1128</v>
      </c>
      <c r="G23" t="s">
        <v>1129</v>
      </c>
      <c r="H23" t="s">
        <v>87</v>
      </c>
      <c r="I23">
        <v>74</v>
      </c>
      <c r="J23" t="s">
        <v>1130</v>
      </c>
      <c r="K23" t="s">
        <v>111</v>
      </c>
      <c r="L23">
        <v>12</v>
      </c>
      <c r="M23" t="s">
        <v>60</v>
      </c>
      <c r="N23" t="s">
        <v>714</v>
      </c>
      <c r="O23" t="s">
        <v>1131</v>
      </c>
      <c r="P23" t="s">
        <v>203</v>
      </c>
      <c r="Q23" t="s">
        <v>116</v>
      </c>
      <c r="R23" t="s">
        <v>140</v>
      </c>
      <c r="S23" t="s">
        <v>232</v>
      </c>
      <c r="T23" t="s">
        <v>118</v>
      </c>
      <c r="U23" t="s">
        <v>362</v>
      </c>
      <c r="V23" t="s">
        <v>362</v>
      </c>
      <c r="W23">
        <v>37022</v>
      </c>
      <c r="X23">
        <v>35158</v>
      </c>
      <c r="Y23">
        <v>1864</v>
      </c>
      <c r="Z23">
        <v>3743</v>
      </c>
      <c r="AA23" t="s">
        <v>70</v>
      </c>
      <c r="AC23" t="s">
        <v>71</v>
      </c>
      <c r="AD23" t="s">
        <v>95</v>
      </c>
      <c r="AE23">
        <v>6</v>
      </c>
      <c r="AF23">
        <v>75</v>
      </c>
      <c r="AG23">
        <v>83</v>
      </c>
      <c r="AH23" t="s">
        <v>73</v>
      </c>
      <c r="AI23">
        <v>77</v>
      </c>
      <c r="AJ23">
        <v>50</v>
      </c>
      <c r="AK23">
        <v>21</v>
      </c>
      <c r="AL23" t="s">
        <v>122</v>
      </c>
      <c r="AM23">
        <v>42</v>
      </c>
      <c r="AN23" t="s">
        <v>98</v>
      </c>
      <c r="AO23">
        <v>2</v>
      </c>
      <c r="AP23">
        <v>3</v>
      </c>
      <c r="AQ23" t="s">
        <v>751</v>
      </c>
      <c r="AR23" t="s">
        <v>525</v>
      </c>
      <c r="AS23" t="s">
        <v>70</v>
      </c>
      <c r="AT23" t="s">
        <v>76</v>
      </c>
      <c r="AU23" t="s">
        <v>77</v>
      </c>
      <c r="AV23" t="s">
        <v>78</v>
      </c>
      <c r="AW23" t="s">
        <v>102</v>
      </c>
    </row>
    <row r="24" spans="1:49" x14ac:dyDescent="0.25">
      <c r="A24" t="s">
        <v>1132</v>
      </c>
      <c r="B24" t="s">
        <v>50</v>
      </c>
      <c r="C24" t="s">
        <v>1133</v>
      </c>
      <c r="D24" t="s">
        <v>52</v>
      </c>
      <c r="E24" t="s">
        <v>1134</v>
      </c>
      <c r="F24" t="s">
        <v>1135</v>
      </c>
      <c r="G24" t="s">
        <v>1136</v>
      </c>
      <c r="H24" t="s">
        <v>1394</v>
      </c>
      <c r="I24">
        <v>64</v>
      </c>
      <c r="J24" t="s">
        <v>1137</v>
      </c>
      <c r="K24" t="s">
        <v>294</v>
      </c>
      <c r="L24">
        <v>12</v>
      </c>
      <c r="M24" t="s">
        <v>60</v>
      </c>
      <c r="N24" t="s">
        <v>206</v>
      </c>
      <c r="O24" t="s">
        <v>1138</v>
      </c>
      <c r="P24" t="s">
        <v>524</v>
      </c>
      <c r="Q24" t="s">
        <v>116</v>
      </c>
      <c r="R24" t="s">
        <v>140</v>
      </c>
      <c r="S24" t="s">
        <v>66</v>
      </c>
      <c r="T24" t="s">
        <v>67</v>
      </c>
      <c r="U24" t="s">
        <v>467</v>
      </c>
      <c r="V24" t="s">
        <v>467</v>
      </c>
      <c r="W24">
        <v>21174</v>
      </c>
      <c r="X24">
        <v>19848</v>
      </c>
      <c r="Y24">
        <v>1326</v>
      </c>
      <c r="Z24">
        <v>2831</v>
      </c>
      <c r="AA24" t="s">
        <v>70</v>
      </c>
      <c r="AC24" t="s">
        <v>71</v>
      </c>
      <c r="AD24" t="s">
        <v>121</v>
      </c>
      <c r="AE24">
        <v>5</v>
      </c>
      <c r="AF24">
        <v>73</v>
      </c>
      <c r="AG24">
        <v>82</v>
      </c>
      <c r="AH24" t="s">
        <v>234</v>
      </c>
      <c r="AI24">
        <v>98</v>
      </c>
      <c r="AJ24">
        <v>27</v>
      </c>
      <c r="AK24">
        <v>17</v>
      </c>
      <c r="AM24">
        <v>62</v>
      </c>
      <c r="AN24" t="s">
        <v>70</v>
      </c>
      <c r="AO24">
        <v>1</v>
      </c>
      <c r="AP24">
        <v>2</v>
      </c>
      <c r="AQ24" t="s">
        <v>397</v>
      </c>
      <c r="AR24" t="s">
        <v>233</v>
      </c>
      <c r="AS24" t="s">
        <v>98</v>
      </c>
      <c r="AT24" t="s">
        <v>287</v>
      </c>
      <c r="AU24" t="s">
        <v>126</v>
      </c>
      <c r="AV24" t="s">
        <v>78</v>
      </c>
      <c r="AW24" t="s">
        <v>102</v>
      </c>
    </row>
    <row r="25" spans="1:49" x14ac:dyDescent="0.25">
      <c r="A25" t="s">
        <v>1139</v>
      </c>
      <c r="B25" t="s">
        <v>443</v>
      </c>
      <c r="C25" t="s">
        <v>1140</v>
      </c>
      <c r="D25" t="s">
        <v>52</v>
      </c>
      <c r="E25" t="s">
        <v>1141</v>
      </c>
      <c r="F25" t="s">
        <v>1142</v>
      </c>
      <c r="G25" t="s">
        <v>1143</v>
      </c>
      <c r="H25" t="s">
        <v>87</v>
      </c>
      <c r="I25">
        <v>63</v>
      </c>
      <c r="J25" t="s">
        <v>1144</v>
      </c>
      <c r="K25" t="s">
        <v>294</v>
      </c>
      <c r="L25">
        <v>12</v>
      </c>
      <c r="M25" t="s">
        <v>89</v>
      </c>
      <c r="N25" t="s">
        <v>229</v>
      </c>
      <c r="O25" t="s">
        <v>1145</v>
      </c>
      <c r="P25" t="s">
        <v>231</v>
      </c>
      <c r="Q25" t="s">
        <v>116</v>
      </c>
      <c r="R25" t="s">
        <v>65</v>
      </c>
      <c r="S25" t="s">
        <v>219</v>
      </c>
      <c r="T25" t="s">
        <v>273</v>
      </c>
      <c r="U25" t="s">
        <v>201</v>
      </c>
      <c r="V25" t="s">
        <v>170</v>
      </c>
      <c r="W25">
        <v>26544</v>
      </c>
      <c r="X25">
        <v>23051</v>
      </c>
      <c r="Y25">
        <v>3493</v>
      </c>
      <c r="Z25">
        <v>4997</v>
      </c>
      <c r="AA25" t="s">
        <v>70</v>
      </c>
      <c r="AC25" t="s">
        <v>71</v>
      </c>
      <c r="AD25" t="s">
        <v>191</v>
      </c>
      <c r="AE25">
        <v>3</v>
      </c>
      <c r="AF25">
        <v>84</v>
      </c>
      <c r="AG25">
        <v>95</v>
      </c>
      <c r="AH25" t="s">
        <v>234</v>
      </c>
      <c r="AI25">
        <v>83</v>
      </c>
      <c r="AJ25">
        <v>40</v>
      </c>
      <c r="AK25">
        <v>37</v>
      </c>
      <c r="AM25">
        <v>92</v>
      </c>
      <c r="AN25" t="s">
        <v>70</v>
      </c>
      <c r="AO25">
        <v>3</v>
      </c>
      <c r="AP25">
        <v>5</v>
      </c>
      <c r="AQ25" t="s">
        <v>938</v>
      </c>
      <c r="AR25" t="s">
        <v>696</v>
      </c>
      <c r="AS25" t="s">
        <v>98</v>
      </c>
      <c r="AT25" t="s">
        <v>76</v>
      </c>
      <c r="AU25" t="s">
        <v>126</v>
      </c>
      <c r="AV25" t="s">
        <v>78</v>
      </c>
      <c r="AW25" t="s">
        <v>79</v>
      </c>
    </row>
    <row r="26" spans="1:49" x14ac:dyDescent="0.25">
      <c r="A26" t="s">
        <v>1146</v>
      </c>
      <c r="B26" t="s">
        <v>915</v>
      </c>
      <c r="C26" t="s">
        <v>1147</v>
      </c>
      <c r="D26" t="s">
        <v>106</v>
      </c>
      <c r="E26" t="s">
        <v>1148</v>
      </c>
      <c r="F26" t="s">
        <v>1149</v>
      </c>
      <c r="G26" t="s">
        <v>1150</v>
      </c>
      <c r="H26" t="s">
        <v>57</v>
      </c>
      <c r="I26">
        <v>72</v>
      </c>
      <c r="J26" t="s">
        <v>1151</v>
      </c>
      <c r="K26" t="s">
        <v>59</v>
      </c>
      <c r="L26">
        <v>3</v>
      </c>
      <c r="M26" t="s">
        <v>112</v>
      </c>
      <c r="N26" t="s">
        <v>705</v>
      </c>
      <c r="O26" t="s">
        <v>341</v>
      </c>
      <c r="P26" t="s">
        <v>371</v>
      </c>
      <c r="Q26" t="s">
        <v>204</v>
      </c>
      <c r="R26" t="s">
        <v>65</v>
      </c>
      <c r="S26" t="s">
        <v>141</v>
      </c>
      <c r="T26" t="s">
        <v>118</v>
      </c>
      <c r="U26" t="s">
        <v>476</v>
      </c>
      <c r="V26" t="s">
        <v>476</v>
      </c>
      <c r="W26">
        <v>24055</v>
      </c>
      <c r="X26">
        <v>23749</v>
      </c>
      <c r="Y26">
        <v>306</v>
      </c>
      <c r="Z26">
        <v>787</v>
      </c>
      <c r="AA26" t="s">
        <v>70</v>
      </c>
      <c r="AC26" t="s">
        <v>71</v>
      </c>
      <c r="AD26" t="s">
        <v>121</v>
      </c>
      <c r="AE26">
        <v>6</v>
      </c>
      <c r="AF26">
        <v>83</v>
      </c>
      <c r="AG26">
        <v>95</v>
      </c>
      <c r="AH26" t="s">
        <v>96</v>
      </c>
      <c r="AI26">
        <v>67</v>
      </c>
      <c r="AJ26">
        <v>53</v>
      </c>
      <c r="AK26">
        <v>52</v>
      </c>
      <c r="AL26" t="s">
        <v>122</v>
      </c>
      <c r="AM26">
        <v>100</v>
      </c>
      <c r="AN26" t="s">
        <v>70</v>
      </c>
      <c r="AO26">
        <v>3</v>
      </c>
      <c r="AP26">
        <v>2</v>
      </c>
      <c r="AQ26" t="s">
        <v>99</v>
      </c>
      <c r="AR26" t="s">
        <v>517</v>
      </c>
      <c r="AS26" t="s">
        <v>70</v>
      </c>
      <c r="AT26" t="s">
        <v>125</v>
      </c>
      <c r="AU26" t="s">
        <v>160</v>
      </c>
      <c r="AV26" t="s">
        <v>147</v>
      </c>
    </row>
    <row r="27" spans="1:49" x14ac:dyDescent="0.25">
      <c r="A27" t="s">
        <v>1152</v>
      </c>
      <c r="B27" t="s">
        <v>1345</v>
      </c>
      <c r="C27" t="s">
        <v>1057</v>
      </c>
      <c r="D27" t="s">
        <v>52</v>
      </c>
      <c r="E27" t="s">
        <v>1153</v>
      </c>
      <c r="F27" t="s">
        <v>1154</v>
      </c>
      <c r="G27" t="s">
        <v>1155</v>
      </c>
      <c r="H27" t="s">
        <v>1394</v>
      </c>
      <c r="I27">
        <v>76</v>
      </c>
      <c r="J27" t="s">
        <v>1156</v>
      </c>
      <c r="K27" t="s">
        <v>111</v>
      </c>
      <c r="L27">
        <v>3</v>
      </c>
      <c r="M27" t="s">
        <v>60</v>
      </c>
      <c r="N27" t="s">
        <v>220</v>
      </c>
      <c r="O27" t="s">
        <v>309</v>
      </c>
      <c r="P27" t="s">
        <v>384</v>
      </c>
      <c r="Q27" t="s">
        <v>116</v>
      </c>
      <c r="R27" t="s">
        <v>140</v>
      </c>
      <c r="S27" t="s">
        <v>219</v>
      </c>
      <c r="T27" t="s">
        <v>205</v>
      </c>
      <c r="U27" t="s">
        <v>449</v>
      </c>
      <c r="V27" t="s">
        <v>640</v>
      </c>
      <c r="W27">
        <v>47763</v>
      </c>
      <c r="X27">
        <v>46154</v>
      </c>
      <c r="Y27">
        <v>1609</v>
      </c>
      <c r="Z27">
        <v>2256</v>
      </c>
      <c r="AA27" t="s">
        <v>98</v>
      </c>
      <c r="AB27" t="s">
        <v>467</v>
      </c>
      <c r="AC27" t="s">
        <v>71</v>
      </c>
      <c r="AD27" t="s">
        <v>121</v>
      </c>
      <c r="AE27">
        <v>10</v>
      </c>
      <c r="AF27">
        <v>61</v>
      </c>
      <c r="AG27">
        <v>95</v>
      </c>
      <c r="AH27" t="s">
        <v>234</v>
      </c>
      <c r="AI27">
        <v>78</v>
      </c>
      <c r="AJ27">
        <v>38</v>
      </c>
      <c r="AK27">
        <v>16</v>
      </c>
      <c r="AL27" t="s">
        <v>122</v>
      </c>
      <c r="AM27">
        <v>42</v>
      </c>
      <c r="AN27" t="s">
        <v>98</v>
      </c>
      <c r="AO27">
        <v>2</v>
      </c>
      <c r="AP27">
        <v>2</v>
      </c>
      <c r="AQ27" t="s">
        <v>322</v>
      </c>
      <c r="AR27" t="s">
        <v>69</v>
      </c>
      <c r="AS27" t="s">
        <v>70</v>
      </c>
      <c r="AT27" t="s">
        <v>177</v>
      </c>
      <c r="AU27" t="s">
        <v>77</v>
      </c>
      <c r="AV27" t="s">
        <v>147</v>
      </c>
    </row>
    <row r="28" spans="1:49" x14ac:dyDescent="0.25">
      <c r="A28" t="s">
        <v>1157</v>
      </c>
      <c r="B28" t="s">
        <v>377</v>
      </c>
      <c r="C28" t="s">
        <v>1158</v>
      </c>
      <c r="D28" t="s">
        <v>130</v>
      </c>
      <c r="E28" t="s">
        <v>1159</v>
      </c>
      <c r="F28" t="s">
        <v>1160</v>
      </c>
      <c r="G28" t="s">
        <v>1161</v>
      </c>
      <c r="H28" t="s">
        <v>1395</v>
      </c>
      <c r="I28">
        <v>61</v>
      </c>
      <c r="J28" t="s">
        <v>1162</v>
      </c>
      <c r="K28" t="s">
        <v>294</v>
      </c>
      <c r="L28">
        <v>3</v>
      </c>
      <c r="M28" t="s">
        <v>89</v>
      </c>
      <c r="N28" t="s">
        <v>217</v>
      </c>
      <c r="O28" t="s">
        <v>387</v>
      </c>
      <c r="P28" t="s">
        <v>188</v>
      </c>
      <c r="Q28" t="s">
        <v>116</v>
      </c>
      <c r="R28" t="s">
        <v>65</v>
      </c>
      <c r="S28" t="s">
        <v>232</v>
      </c>
      <c r="T28" t="s">
        <v>67</v>
      </c>
      <c r="U28" t="s">
        <v>352</v>
      </c>
      <c r="V28" t="s">
        <v>341</v>
      </c>
      <c r="W28">
        <v>33335</v>
      </c>
      <c r="X28">
        <v>32260</v>
      </c>
      <c r="Y28">
        <v>1075</v>
      </c>
      <c r="Z28">
        <v>2385</v>
      </c>
      <c r="AA28" t="s">
        <v>98</v>
      </c>
      <c r="AB28" t="s">
        <v>429</v>
      </c>
      <c r="AC28" t="s">
        <v>71</v>
      </c>
      <c r="AD28" t="s">
        <v>191</v>
      </c>
      <c r="AE28">
        <v>7</v>
      </c>
      <c r="AF28">
        <v>68</v>
      </c>
      <c r="AG28">
        <v>93</v>
      </c>
      <c r="AH28" t="s">
        <v>73</v>
      </c>
      <c r="AI28">
        <v>96</v>
      </c>
      <c r="AJ28">
        <v>33</v>
      </c>
      <c r="AK28">
        <v>22</v>
      </c>
      <c r="AL28" t="s">
        <v>122</v>
      </c>
      <c r="AM28">
        <v>66</v>
      </c>
      <c r="AN28" t="s">
        <v>98</v>
      </c>
      <c r="AO28">
        <v>2</v>
      </c>
      <c r="AP28">
        <v>1</v>
      </c>
      <c r="AQ28" t="s">
        <v>1163</v>
      </c>
      <c r="AR28" t="s">
        <v>624</v>
      </c>
      <c r="AS28" t="s">
        <v>98</v>
      </c>
      <c r="AT28" t="s">
        <v>76</v>
      </c>
      <c r="AU28" t="s">
        <v>77</v>
      </c>
      <c r="AV28" t="s">
        <v>147</v>
      </c>
    </row>
    <row r="29" spans="1:49" x14ac:dyDescent="0.25">
      <c r="A29" t="s">
        <v>1164</v>
      </c>
      <c r="B29" t="s">
        <v>83</v>
      </c>
      <c r="C29" t="s">
        <v>961</v>
      </c>
      <c r="D29" t="s">
        <v>52</v>
      </c>
      <c r="E29" t="s">
        <v>1165</v>
      </c>
      <c r="F29" t="s">
        <v>829</v>
      </c>
      <c r="G29" t="s">
        <v>1166</v>
      </c>
      <c r="H29" t="s">
        <v>87</v>
      </c>
      <c r="I29">
        <v>87</v>
      </c>
      <c r="J29" t="s">
        <v>1167</v>
      </c>
      <c r="K29" t="s">
        <v>169</v>
      </c>
      <c r="L29">
        <v>6</v>
      </c>
      <c r="M29" t="s">
        <v>112</v>
      </c>
      <c r="N29" t="s">
        <v>694</v>
      </c>
      <c r="O29" t="s">
        <v>695</v>
      </c>
      <c r="P29" t="s">
        <v>320</v>
      </c>
      <c r="Q29" t="s">
        <v>64</v>
      </c>
      <c r="R29" t="s">
        <v>65</v>
      </c>
      <c r="S29" t="s">
        <v>66</v>
      </c>
      <c r="T29" t="s">
        <v>67</v>
      </c>
      <c r="U29" t="s">
        <v>900</v>
      </c>
      <c r="V29" t="s">
        <v>415</v>
      </c>
      <c r="W29">
        <v>33488</v>
      </c>
      <c r="X29">
        <v>30413</v>
      </c>
      <c r="Y29">
        <v>3075</v>
      </c>
      <c r="Z29">
        <v>3261</v>
      </c>
      <c r="AA29" t="s">
        <v>98</v>
      </c>
      <c r="AB29" t="s">
        <v>145</v>
      </c>
      <c r="AC29" t="s">
        <v>71</v>
      </c>
      <c r="AD29" t="s">
        <v>121</v>
      </c>
      <c r="AE29">
        <v>5</v>
      </c>
      <c r="AF29">
        <v>69</v>
      </c>
      <c r="AG29">
        <v>92</v>
      </c>
      <c r="AH29" t="s">
        <v>234</v>
      </c>
      <c r="AI29">
        <v>69</v>
      </c>
      <c r="AJ29">
        <v>36</v>
      </c>
      <c r="AK29">
        <v>33</v>
      </c>
      <c r="AM29">
        <v>100</v>
      </c>
      <c r="AN29" t="s">
        <v>70</v>
      </c>
      <c r="AO29">
        <v>2</v>
      </c>
      <c r="AP29">
        <v>3</v>
      </c>
      <c r="AQ29" t="s">
        <v>687</v>
      </c>
      <c r="AR29" t="s">
        <v>123</v>
      </c>
      <c r="AS29" t="s">
        <v>98</v>
      </c>
      <c r="AT29" t="s">
        <v>101</v>
      </c>
      <c r="AU29" t="s">
        <v>126</v>
      </c>
      <c r="AV29" t="s">
        <v>78</v>
      </c>
      <c r="AW29" t="s">
        <v>79</v>
      </c>
    </row>
    <row r="30" spans="1:49" x14ac:dyDescent="0.25">
      <c r="A30" t="s">
        <v>1168</v>
      </c>
      <c r="B30" t="s">
        <v>128</v>
      </c>
      <c r="C30" t="s">
        <v>51</v>
      </c>
      <c r="D30" t="s">
        <v>130</v>
      </c>
      <c r="E30" t="s">
        <v>1169</v>
      </c>
      <c r="F30" t="s">
        <v>1170</v>
      </c>
      <c r="G30" t="s">
        <v>1171</v>
      </c>
      <c r="H30" t="s">
        <v>1394</v>
      </c>
      <c r="I30">
        <v>89</v>
      </c>
      <c r="J30" t="s">
        <v>1172</v>
      </c>
      <c r="K30" t="s">
        <v>294</v>
      </c>
      <c r="L30">
        <v>12</v>
      </c>
      <c r="M30" t="s">
        <v>112</v>
      </c>
      <c r="N30" t="s">
        <v>466</v>
      </c>
      <c r="O30" t="s">
        <v>1173</v>
      </c>
      <c r="P30" t="s">
        <v>139</v>
      </c>
      <c r="Q30" t="s">
        <v>116</v>
      </c>
      <c r="R30" t="s">
        <v>140</v>
      </c>
      <c r="S30" t="s">
        <v>66</v>
      </c>
      <c r="T30" t="s">
        <v>205</v>
      </c>
      <c r="U30" t="s">
        <v>696</v>
      </c>
      <c r="V30" t="s">
        <v>373</v>
      </c>
      <c r="W30">
        <v>32295</v>
      </c>
      <c r="X30">
        <v>32187</v>
      </c>
      <c r="Y30">
        <v>108</v>
      </c>
      <c r="Z30">
        <v>196</v>
      </c>
      <c r="AA30" t="s">
        <v>98</v>
      </c>
      <c r="AB30" t="s">
        <v>1174</v>
      </c>
      <c r="AC30" t="s">
        <v>71</v>
      </c>
      <c r="AD30" t="s">
        <v>72</v>
      </c>
      <c r="AE30">
        <v>6</v>
      </c>
      <c r="AF30">
        <v>80</v>
      </c>
      <c r="AG30">
        <v>97</v>
      </c>
      <c r="AH30" t="s">
        <v>73</v>
      </c>
      <c r="AI30">
        <v>99</v>
      </c>
      <c r="AJ30">
        <v>37</v>
      </c>
      <c r="AK30">
        <v>26</v>
      </c>
      <c r="AL30" t="s">
        <v>122</v>
      </c>
      <c r="AM30">
        <v>40</v>
      </c>
      <c r="AN30" t="s">
        <v>70</v>
      </c>
      <c r="AO30">
        <v>4</v>
      </c>
      <c r="AP30">
        <v>4</v>
      </c>
      <c r="AQ30" t="s">
        <v>795</v>
      </c>
      <c r="AR30" t="s">
        <v>91</v>
      </c>
      <c r="AS30" t="s">
        <v>70</v>
      </c>
      <c r="AT30" t="s">
        <v>125</v>
      </c>
      <c r="AU30" t="s">
        <v>77</v>
      </c>
      <c r="AV30" t="s">
        <v>147</v>
      </c>
    </row>
    <row r="31" spans="1:49" x14ac:dyDescent="0.25">
      <c r="A31" t="s">
        <v>1175</v>
      </c>
      <c r="B31" t="s">
        <v>364</v>
      </c>
      <c r="C31" t="s">
        <v>129</v>
      </c>
      <c r="D31" t="s">
        <v>52</v>
      </c>
      <c r="E31" t="s">
        <v>1176</v>
      </c>
      <c r="F31" t="s">
        <v>1177</v>
      </c>
      <c r="G31" t="s">
        <v>1178</v>
      </c>
      <c r="H31" t="s">
        <v>1394</v>
      </c>
      <c r="I31">
        <v>70</v>
      </c>
      <c r="J31" t="s">
        <v>1179</v>
      </c>
      <c r="K31" t="s">
        <v>294</v>
      </c>
      <c r="L31">
        <v>12</v>
      </c>
      <c r="M31" t="s">
        <v>89</v>
      </c>
      <c r="N31" t="s">
        <v>262</v>
      </c>
      <c r="O31" t="s">
        <v>1180</v>
      </c>
      <c r="P31" t="s">
        <v>188</v>
      </c>
      <c r="Q31" t="s">
        <v>204</v>
      </c>
      <c r="R31" t="s">
        <v>140</v>
      </c>
      <c r="S31" t="s">
        <v>141</v>
      </c>
      <c r="T31" t="s">
        <v>142</v>
      </c>
      <c r="U31" t="s">
        <v>175</v>
      </c>
      <c r="V31" t="s">
        <v>999</v>
      </c>
      <c r="W31">
        <v>33476</v>
      </c>
      <c r="X31">
        <v>32289</v>
      </c>
      <c r="Y31">
        <v>1187</v>
      </c>
      <c r="Z31">
        <v>4267</v>
      </c>
      <c r="AA31" t="s">
        <v>98</v>
      </c>
      <c r="AB31" t="s">
        <v>341</v>
      </c>
      <c r="AC31" t="s">
        <v>71</v>
      </c>
      <c r="AD31" t="s">
        <v>95</v>
      </c>
      <c r="AE31">
        <v>6</v>
      </c>
      <c r="AF31">
        <v>50</v>
      </c>
      <c r="AG31">
        <v>63</v>
      </c>
      <c r="AH31" t="s">
        <v>234</v>
      </c>
      <c r="AI31">
        <v>96</v>
      </c>
      <c r="AJ31">
        <v>24</v>
      </c>
      <c r="AK31">
        <v>24</v>
      </c>
      <c r="AM31">
        <v>100</v>
      </c>
      <c r="AN31" t="s">
        <v>70</v>
      </c>
      <c r="AO31">
        <v>1</v>
      </c>
      <c r="AP31">
        <v>1</v>
      </c>
      <c r="AQ31" t="s">
        <v>440</v>
      </c>
      <c r="AR31" t="s">
        <v>900</v>
      </c>
      <c r="AS31" t="s">
        <v>98</v>
      </c>
      <c r="AT31" t="s">
        <v>287</v>
      </c>
      <c r="AU31" t="s">
        <v>126</v>
      </c>
      <c r="AV31" t="s">
        <v>78</v>
      </c>
      <c r="AW31" t="s">
        <v>276</v>
      </c>
    </row>
    <row r="32" spans="1:49" x14ac:dyDescent="0.25">
      <c r="A32" t="s">
        <v>1181</v>
      </c>
      <c r="B32" t="s">
        <v>162</v>
      </c>
      <c r="C32" t="s">
        <v>1182</v>
      </c>
      <c r="D32" t="s">
        <v>52</v>
      </c>
      <c r="E32" t="s">
        <v>1183</v>
      </c>
      <c r="F32" t="s">
        <v>1184</v>
      </c>
      <c r="G32" t="s">
        <v>1185</v>
      </c>
      <c r="H32" t="s">
        <v>87</v>
      </c>
      <c r="I32">
        <v>75</v>
      </c>
      <c r="J32" t="s">
        <v>1186</v>
      </c>
      <c r="K32" t="s">
        <v>169</v>
      </c>
      <c r="L32">
        <v>12</v>
      </c>
      <c r="M32" t="s">
        <v>60</v>
      </c>
      <c r="N32" t="s">
        <v>1062</v>
      </c>
      <c r="O32" t="s">
        <v>1187</v>
      </c>
      <c r="P32" t="s">
        <v>172</v>
      </c>
      <c r="Q32" t="s">
        <v>204</v>
      </c>
      <c r="R32" t="s">
        <v>65</v>
      </c>
      <c r="S32" t="s">
        <v>232</v>
      </c>
      <c r="T32" t="s">
        <v>67</v>
      </c>
      <c r="U32" t="s">
        <v>440</v>
      </c>
      <c r="V32" t="s">
        <v>209</v>
      </c>
      <c r="W32">
        <v>46278</v>
      </c>
      <c r="X32">
        <v>45890</v>
      </c>
      <c r="Y32">
        <v>388</v>
      </c>
      <c r="Z32">
        <v>4438</v>
      </c>
      <c r="AA32" t="s">
        <v>98</v>
      </c>
      <c r="AB32" t="s">
        <v>574</v>
      </c>
      <c r="AC32" t="s">
        <v>71</v>
      </c>
      <c r="AD32" t="s">
        <v>121</v>
      </c>
      <c r="AE32">
        <v>7</v>
      </c>
      <c r="AF32">
        <v>54</v>
      </c>
      <c r="AG32">
        <v>84</v>
      </c>
      <c r="AH32" t="s">
        <v>234</v>
      </c>
      <c r="AI32">
        <v>83</v>
      </c>
      <c r="AJ32">
        <v>58</v>
      </c>
      <c r="AK32">
        <v>50</v>
      </c>
      <c r="AL32" t="s">
        <v>97</v>
      </c>
      <c r="AM32">
        <v>86</v>
      </c>
      <c r="AN32" t="s">
        <v>70</v>
      </c>
      <c r="AO32">
        <v>5</v>
      </c>
      <c r="AP32">
        <v>5</v>
      </c>
      <c r="AQ32" t="s">
        <v>574</v>
      </c>
      <c r="AR32" t="s">
        <v>509</v>
      </c>
      <c r="AS32" t="s">
        <v>70</v>
      </c>
      <c r="AT32" t="s">
        <v>101</v>
      </c>
      <c r="AU32" t="s">
        <v>126</v>
      </c>
      <c r="AV32" t="s">
        <v>78</v>
      </c>
      <c r="AW32" t="s">
        <v>276</v>
      </c>
    </row>
    <row r="33" spans="1:49" x14ac:dyDescent="0.25">
      <c r="A33" t="s">
        <v>1188</v>
      </c>
      <c r="B33" t="s">
        <v>196</v>
      </c>
      <c r="C33" t="s">
        <v>487</v>
      </c>
      <c r="D33" t="s">
        <v>106</v>
      </c>
      <c r="E33" t="s">
        <v>1189</v>
      </c>
      <c r="F33" t="s">
        <v>1190</v>
      </c>
      <c r="G33" t="s">
        <v>1191</v>
      </c>
      <c r="H33" t="s">
        <v>135</v>
      </c>
      <c r="I33">
        <v>89</v>
      </c>
      <c r="J33" t="s">
        <v>1192</v>
      </c>
      <c r="K33" t="s">
        <v>169</v>
      </c>
      <c r="L33">
        <v>3</v>
      </c>
      <c r="M33" t="s">
        <v>60</v>
      </c>
      <c r="N33" t="s">
        <v>329</v>
      </c>
      <c r="O33" t="s">
        <v>475</v>
      </c>
      <c r="P33" t="s">
        <v>320</v>
      </c>
      <c r="Q33" t="s">
        <v>64</v>
      </c>
      <c r="R33" t="s">
        <v>140</v>
      </c>
      <c r="S33" t="s">
        <v>141</v>
      </c>
      <c r="T33" t="s">
        <v>67</v>
      </c>
      <c r="U33" t="s">
        <v>263</v>
      </c>
      <c r="V33" t="s">
        <v>298</v>
      </c>
      <c r="W33">
        <v>26240</v>
      </c>
      <c r="X33">
        <v>23932</v>
      </c>
      <c r="Y33">
        <v>2308</v>
      </c>
      <c r="Z33">
        <v>2659</v>
      </c>
      <c r="AA33" t="s">
        <v>70</v>
      </c>
      <c r="AC33" t="s">
        <v>71</v>
      </c>
      <c r="AD33" t="s">
        <v>121</v>
      </c>
      <c r="AE33">
        <v>5</v>
      </c>
      <c r="AF33">
        <v>49</v>
      </c>
      <c r="AG33">
        <v>65</v>
      </c>
      <c r="AH33" t="s">
        <v>73</v>
      </c>
      <c r="AI33">
        <v>92</v>
      </c>
      <c r="AJ33">
        <v>26</v>
      </c>
      <c r="AK33">
        <v>25</v>
      </c>
      <c r="AM33">
        <v>96</v>
      </c>
      <c r="AN33" t="s">
        <v>70</v>
      </c>
      <c r="AO33">
        <v>5</v>
      </c>
      <c r="AP33">
        <v>1</v>
      </c>
      <c r="AQ33" t="s">
        <v>502</v>
      </c>
      <c r="AR33" t="s">
        <v>351</v>
      </c>
      <c r="AS33" t="s">
        <v>70</v>
      </c>
      <c r="AT33" t="s">
        <v>177</v>
      </c>
      <c r="AU33" t="s">
        <v>160</v>
      </c>
      <c r="AV33" t="s">
        <v>78</v>
      </c>
      <c r="AW33" t="s">
        <v>276</v>
      </c>
    </row>
    <row r="34" spans="1:49" x14ac:dyDescent="0.25">
      <c r="A34" t="s">
        <v>1193</v>
      </c>
      <c r="B34" t="s">
        <v>131</v>
      </c>
      <c r="C34" t="s">
        <v>1194</v>
      </c>
      <c r="D34" t="s">
        <v>130</v>
      </c>
      <c r="E34" t="s">
        <v>1195</v>
      </c>
      <c r="F34" t="s">
        <v>481</v>
      </c>
      <c r="G34" t="s">
        <v>1196</v>
      </c>
      <c r="H34" t="s">
        <v>135</v>
      </c>
      <c r="I34">
        <v>70</v>
      </c>
      <c r="J34" t="s">
        <v>1197</v>
      </c>
      <c r="K34" t="s">
        <v>111</v>
      </c>
      <c r="L34">
        <v>6</v>
      </c>
      <c r="M34" t="s">
        <v>112</v>
      </c>
      <c r="N34" t="s">
        <v>1019</v>
      </c>
      <c r="O34" t="s">
        <v>399</v>
      </c>
      <c r="P34" t="s">
        <v>188</v>
      </c>
      <c r="Q34" t="s">
        <v>116</v>
      </c>
      <c r="R34" t="s">
        <v>65</v>
      </c>
      <c r="S34" t="s">
        <v>66</v>
      </c>
      <c r="T34" t="s">
        <v>142</v>
      </c>
      <c r="U34" t="s">
        <v>286</v>
      </c>
      <c r="V34" t="s">
        <v>476</v>
      </c>
      <c r="W34">
        <v>42298</v>
      </c>
      <c r="X34">
        <v>42293</v>
      </c>
      <c r="Y34">
        <v>5</v>
      </c>
      <c r="Z34">
        <v>246</v>
      </c>
      <c r="AA34" t="s">
        <v>70</v>
      </c>
      <c r="AC34" t="s">
        <v>71</v>
      </c>
      <c r="AD34" t="s">
        <v>95</v>
      </c>
      <c r="AE34">
        <v>9</v>
      </c>
      <c r="AF34">
        <v>42</v>
      </c>
      <c r="AG34">
        <v>92</v>
      </c>
      <c r="AH34" t="s">
        <v>73</v>
      </c>
      <c r="AI34">
        <v>63</v>
      </c>
      <c r="AJ34">
        <v>56</v>
      </c>
      <c r="AK34">
        <v>52</v>
      </c>
      <c r="AL34" t="s">
        <v>122</v>
      </c>
      <c r="AM34">
        <v>92</v>
      </c>
      <c r="AN34" t="s">
        <v>98</v>
      </c>
      <c r="AO34">
        <v>4</v>
      </c>
      <c r="AP34">
        <v>2</v>
      </c>
      <c r="AQ34" t="s">
        <v>416</v>
      </c>
      <c r="AR34" t="s">
        <v>1174</v>
      </c>
      <c r="AS34" t="s">
        <v>70</v>
      </c>
      <c r="AT34" t="s">
        <v>287</v>
      </c>
      <c r="AU34" t="s">
        <v>160</v>
      </c>
      <c r="AV34" t="s">
        <v>147</v>
      </c>
    </row>
    <row r="35" spans="1:49" x14ac:dyDescent="0.25">
      <c r="A35" t="s">
        <v>1198</v>
      </c>
      <c r="B35" t="s">
        <v>419</v>
      </c>
      <c r="C35" t="s">
        <v>1199</v>
      </c>
      <c r="D35" t="s">
        <v>106</v>
      </c>
      <c r="E35" t="s">
        <v>1200</v>
      </c>
      <c r="F35" t="s">
        <v>1201</v>
      </c>
      <c r="G35" t="s">
        <v>1202</v>
      </c>
      <c r="H35" t="s">
        <v>57</v>
      </c>
      <c r="I35">
        <v>68</v>
      </c>
      <c r="J35" t="s">
        <v>1203</v>
      </c>
      <c r="K35" t="s">
        <v>169</v>
      </c>
      <c r="L35">
        <v>12</v>
      </c>
      <c r="M35" t="s">
        <v>112</v>
      </c>
      <c r="N35" t="s">
        <v>395</v>
      </c>
      <c r="O35" t="s">
        <v>1204</v>
      </c>
      <c r="P35" t="s">
        <v>231</v>
      </c>
      <c r="Q35" t="s">
        <v>64</v>
      </c>
      <c r="R35" t="s">
        <v>65</v>
      </c>
      <c r="S35" t="s">
        <v>232</v>
      </c>
      <c r="T35" t="s">
        <v>205</v>
      </c>
      <c r="U35" t="s">
        <v>361</v>
      </c>
      <c r="V35" t="s">
        <v>274</v>
      </c>
      <c r="W35">
        <v>19105</v>
      </c>
      <c r="X35">
        <v>16632</v>
      </c>
      <c r="Y35">
        <v>2473</v>
      </c>
      <c r="Z35">
        <v>4817</v>
      </c>
      <c r="AA35" t="s">
        <v>98</v>
      </c>
      <c r="AB35" t="s">
        <v>598</v>
      </c>
      <c r="AC35" t="s">
        <v>71</v>
      </c>
      <c r="AD35" t="s">
        <v>95</v>
      </c>
      <c r="AE35">
        <v>3</v>
      </c>
      <c r="AF35">
        <v>82</v>
      </c>
      <c r="AG35">
        <v>85</v>
      </c>
      <c r="AH35" t="s">
        <v>73</v>
      </c>
      <c r="AI35">
        <v>80</v>
      </c>
      <c r="AJ35">
        <v>36</v>
      </c>
      <c r="AK35">
        <v>19</v>
      </c>
      <c r="AL35" t="s">
        <v>122</v>
      </c>
      <c r="AM35">
        <v>52</v>
      </c>
      <c r="AN35" t="s">
        <v>98</v>
      </c>
      <c r="AO35">
        <v>2</v>
      </c>
      <c r="AP35">
        <v>2</v>
      </c>
      <c r="AQ35" t="s">
        <v>340</v>
      </c>
      <c r="AR35" t="s">
        <v>1069</v>
      </c>
      <c r="AS35" t="s">
        <v>70</v>
      </c>
      <c r="AT35" t="s">
        <v>101</v>
      </c>
      <c r="AU35" t="s">
        <v>77</v>
      </c>
      <c r="AV35" t="s">
        <v>78</v>
      </c>
      <c r="AW35" t="s">
        <v>79</v>
      </c>
    </row>
    <row r="36" spans="1:49" x14ac:dyDescent="0.25">
      <c r="A36" t="s">
        <v>1205</v>
      </c>
      <c r="B36" t="s">
        <v>1343</v>
      </c>
      <c r="C36" t="s">
        <v>1206</v>
      </c>
      <c r="D36" t="s">
        <v>106</v>
      </c>
      <c r="E36" t="s">
        <v>1207</v>
      </c>
      <c r="F36" t="s">
        <v>1208</v>
      </c>
      <c r="G36" t="s">
        <v>1209</v>
      </c>
      <c r="H36" t="s">
        <v>87</v>
      </c>
      <c r="I36">
        <v>94</v>
      </c>
      <c r="J36" t="s">
        <v>1210</v>
      </c>
      <c r="K36" t="s">
        <v>294</v>
      </c>
      <c r="L36">
        <v>3</v>
      </c>
      <c r="M36" t="s">
        <v>112</v>
      </c>
      <c r="N36" t="s">
        <v>533</v>
      </c>
      <c r="O36" t="s">
        <v>307</v>
      </c>
      <c r="P36" t="s">
        <v>172</v>
      </c>
      <c r="Q36" t="s">
        <v>204</v>
      </c>
      <c r="R36" t="s">
        <v>65</v>
      </c>
      <c r="S36" t="s">
        <v>219</v>
      </c>
      <c r="T36" t="s">
        <v>118</v>
      </c>
      <c r="U36" t="s">
        <v>158</v>
      </c>
      <c r="V36" t="s">
        <v>158</v>
      </c>
      <c r="W36">
        <v>27390</v>
      </c>
      <c r="X36">
        <v>23996</v>
      </c>
      <c r="Y36">
        <v>3394</v>
      </c>
      <c r="Z36">
        <v>3563</v>
      </c>
      <c r="AA36" t="s">
        <v>98</v>
      </c>
      <c r="AB36" t="s">
        <v>309</v>
      </c>
      <c r="AC36" t="s">
        <v>71</v>
      </c>
      <c r="AD36" t="s">
        <v>191</v>
      </c>
      <c r="AE36">
        <v>1</v>
      </c>
      <c r="AF36">
        <v>41</v>
      </c>
      <c r="AG36">
        <v>76</v>
      </c>
      <c r="AH36" t="s">
        <v>96</v>
      </c>
      <c r="AI36">
        <v>89</v>
      </c>
      <c r="AJ36">
        <v>59</v>
      </c>
      <c r="AK36">
        <v>59</v>
      </c>
      <c r="AL36" t="s">
        <v>97</v>
      </c>
      <c r="AM36">
        <v>50</v>
      </c>
      <c r="AN36" t="s">
        <v>70</v>
      </c>
      <c r="AO36">
        <v>4</v>
      </c>
      <c r="AP36">
        <v>2</v>
      </c>
      <c r="AQ36" t="s">
        <v>900</v>
      </c>
      <c r="AR36" t="s">
        <v>1163</v>
      </c>
      <c r="AS36" t="s">
        <v>98</v>
      </c>
      <c r="AT36" t="s">
        <v>177</v>
      </c>
      <c r="AU36" t="s">
        <v>77</v>
      </c>
      <c r="AV36" t="s">
        <v>147</v>
      </c>
    </row>
    <row r="37" spans="1:49" x14ac:dyDescent="0.25">
      <c r="A37" t="s">
        <v>1211</v>
      </c>
      <c r="B37" t="s">
        <v>179</v>
      </c>
      <c r="C37" t="s">
        <v>1212</v>
      </c>
      <c r="D37" t="s">
        <v>52</v>
      </c>
      <c r="E37" t="s">
        <v>1213</v>
      </c>
      <c r="F37" t="s">
        <v>1214</v>
      </c>
      <c r="G37" t="s">
        <v>1215</v>
      </c>
      <c r="H37" t="s">
        <v>1395</v>
      </c>
      <c r="I37">
        <v>87</v>
      </c>
      <c r="J37" t="s">
        <v>1216</v>
      </c>
      <c r="K37" t="s">
        <v>111</v>
      </c>
      <c r="L37">
        <v>3</v>
      </c>
      <c r="M37" t="s">
        <v>89</v>
      </c>
      <c r="N37" t="s">
        <v>1062</v>
      </c>
      <c r="O37" t="s">
        <v>938</v>
      </c>
      <c r="P37" t="s">
        <v>297</v>
      </c>
      <c r="Q37" t="s">
        <v>204</v>
      </c>
      <c r="R37" t="s">
        <v>140</v>
      </c>
      <c r="S37" t="s">
        <v>219</v>
      </c>
      <c r="T37" t="s">
        <v>67</v>
      </c>
      <c r="U37" t="s">
        <v>966</v>
      </c>
      <c r="V37" t="s">
        <v>158</v>
      </c>
      <c r="W37">
        <v>49812</v>
      </c>
      <c r="X37">
        <v>49036</v>
      </c>
      <c r="Y37">
        <v>776</v>
      </c>
      <c r="Z37">
        <v>3907</v>
      </c>
      <c r="AA37" t="s">
        <v>98</v>
      </c>
      <c r="AB37" t="s">
        <v>750</v>
      </c>
      <c r="AC37" t="s">
        <v>71</v>
      </c>
      <c r="AD37" t="s">
        <v>121</v>
      </c>
      <c r="AE37">
        <v>10</v>
      </c>
      <c r="AF37">
        <v>50</v>
      </c>
      <c r="AG37">
        <v>77</v>
      </c>
      <c r="AH37" t="s">
        <v>234</v>
      </c>
      <c r="AI37">
        <v>77</v>
      </c>
      <c r="AJ37">
        <v>57</v>
      </c>
      <c r="AK37">
        <v>28</v>
      </c>
      <c r="AM37">
        <v>49</v>
      </c>
      <c r="AN37" t="s">
        <v>70</v>
      </c>
      <c r="AO37">
        <v>5</v>
      </c>
      <c r="AP37">
        <v>1</v>
      </c>
      <c r="AQ37" t="s">
        <v>119</v>
      </c>
      <c r="AR37" t="s">
        <v>1163</v>
      </c>
      <c r="AS37" t="s">
        <v>70</v>
      </c>
      <c r="AT37" t="s">
        <v>76</v>
      </c>
      <c r="AU37" t="s">
        <v>126</v>
      </c>
      <c r="AV37" t="s">
        <v>147</v>
      </c>
    </row>
    <row r="38" spans="1:49" x14ac:dyDescent="0.25">
      <c r="A38" t="s">
        <v>1217</v>
      </c>
      <c r="B38" t="s">
        <v>1344</v>
      </c>
      <c r="C38" t="s">
        <v>895</v>
      </c>
      <c r="D38" t="s">
        <v>130</v>
      </c>
      <c r="E38" t="s">
        <v>1218</v>
      </c>
      <c r="F38" t="s">
        <v>1219</v>
      </c>
      <c r="G38" t="s">
        <v>1220</v>
      </c>
      <c r="H38" t="s">
        <v>57</v>
      </c>
      <c r="I38">
        <v>78</v>
      </c>
      <c r="J38" t="s">
        <v>1221</v>
      </c>
      <c r="K38" t="s">
        <v>169</v>
      </c>
      <c r="L38">
        <v>6</v>
      </c>
      <c r="M38" t="s">
        <v>89</v>
      </c>
      <c r="N38" t="s">
        <v>1062</v>
      </c>
      <c r="O38" t="s">
        <v>146</v>
      </c>
      <c r="P38" t="s">
        <v>63</v>
      </c>
      <c r="Q38" t="s">
        <v>64</v>
      </c>
      <c r="R38" t="s">
        <v>140</v>
      </c>
      <c r="S38" t="s">
        <v>66</v>
      </c>
      <c r="T38" t="s">
        <v>273</v>
      </c>
      <c r="U38" t="s">
        <v>340</v>
      </c>
      <c r="V38" t="s">
        <v>450</v>
      </c>
      <c r="W38">
        <v>33401</v>
      </c>
      <c r="X38">
        <v>32134</v>
      </c>
      <c r="Y38">
        <v>1267</v>
      </c>
      <c r="Z38">
        <v>2830</v>
      </c>
      <c r="AA38" t="s">
        <v>70</v>
      </c>
      <c r="AC38" t="s">
        <v>71</v>
      </c>
      <c r="AD38" t="s">
        <v>121</v>
      </c>
      <c r="AE38">
        <v>4</v>
      </c>
      <c r="AF38">
        <v>55</v>
      </c>
      <c r="AG38">
        <v>84</v>
      </c>
      <c r="AH38" t="s">
        <v>234</v>
      </c>
      <c r="AI38">
        <v>60</v>
      </c>
      <c r="AJ38">
        <v>46</v>
      </c>
      <c r="AK38">
        <v>42</v>
      </c>
      <c r="AL38" t="s">
        <v>97</v>
      </c>
      <c r="AM38">
        <v>91</v>
      </c>
      <c r="AN38" t="s">
        <v>98</v>
      </c>
      <c r="AO38">
        <v>3</v>
      </c>
      <c r="AP38">
        <v>2</v>
      </c>
      <c r="AQ38" t="s">
        <v>429</v>
      </c>
      <c r="AR38" t="s">
        <v>781</v>
      </c>
      <c r="AS38" t="s">
        <v>70</v>
      </c>
      <c r="AT38" t="s">
        <v>287</v>
      </c>
      <c r="AU38" t="s">
        <v>126</v>
      </c>
      <c r="AV38" t="s">
        <v>147</v>
      </c>
    </row>
    <row r="39" spans="1:49" x14ac:dyDescent="0.25">
      <c r="A39" t="s">
        <v>1222</v>
      </c>
      <c r="B39" t="s">
        <v>1342</v>
      </c>
      <c r="C39" t="s">
        <v>1223</v>
      </c>
      <c r="D39" t="s">
        <v>52</v>
      </c>
      <c r="E39" t="s">
        <v>1224</v>
      </c>
      <c r="F39" t="s">
        <v>1225</v>
      </c>
      <c r="G39" t="s">
        <v>1226</v>
      </c>
      <c r="H39" t="s">
        <v>1394</v>
      </c>
      <c r="I39">
        <v>83</v>
      </c>
      <c r="J39" t="s">
        <v>1227</v>
      </c>
      <c r="K39" t="s">
        <v>169</v>
      </c>
      <c r="L39">
        <v>3</v>
      </c>
      <c r="M39" t="s">
        <v>89</v>
      </c>
      <c r="N39" t="s">
        <v>318</v>
      </c>
      <c r="O39" t="s">
        <v>566</v>
      </c>
      <c r="P39" t="s">
        <v>115</v>
      </c>
      <c r="Q39" t="s">
        <v>116</v>
      </c>
      <c r="R39" t="s">
        <v>65</v>
      </c>
      <c r="S39" t="s">
        <v>141</v>
      </c>
      <c r="T39" t="s">
        <v>118</v>
      </c>
      <c r="U39" t="s">
        <v>999</v>
      </c>
      <c r="V39" t="s">
        <v>206</v>
      </c>
      <c r="W39">
        <v>18755</v>
      </c>
      <c r="X39">
        <v>18447</v>
      </c>
      <c r="Y39">
        <v>308</v>
      </c>
      <c r="Z39">
        <v>977</v>
      </c>
      <c r="AA39" t="s">
        <v>70</v>
      </c>
      <c r="AC39" t="s">
        <v>71</v>
      </c>
      <c r="AD39" t="s">
        <v>121</v>
      </c>
      <c r="AE39">
        <v>8</v>
      </c>
      <c r="AF39">
        <v>86</v>
      </c>
      <c r="AG39">
        <v>90</v>
      </c>
      <c r="AH39" t="s">
        <v>73</v>
      </c>
      <c r="AI39">
        <v>99</v>
      </c>
      <c r="AJ39">
        <v>41</v>
      </c>
      <c r="AK39">
        <v>17</v>
      </c>
      <c r="AL39" t="s">
        <v>122</v>
      </c>
      <c r="AM39">
        <v>41</v>
      </c>
      <c r="AN39" t="s">
        <v>98</v>
      </c>
      <c r="AO39">
        <v>4</v>
      </c>
      <c r="AP39">
        <v>2</v>
      </c>
      <c r="AQ39" t="s">
        <v>120</v>
      </c>
      <c r="AR39" t="s">
        <v>1228</v>
      </c>
      <c r="AS39" t="s">
        <v>98</v>
      </c>
      <c r="AT39" t="s">
        <v>287</v>
      </c>
      <c r="AU39" t="s">
        <v>77</v>
      </c>
      <c r="AV39" t="s">
        <v>147</v>
      </c>
    </row>
    <row r="40" spans="1:49" x14ac:dyDescent="0.25">
      <c r="A40" t="s">
        <v>1229</v>
      </c>
      <c r="B40" t="s">
        <v>151</v>
      </c>
      <c r="C40" t="s">
        <v>1230</v>
      </c>
      <c r="D40" t="s">
        <v>106</v>
      </c>
      <c r="E40" t="s">
        <v>1231</v>
      </c>
      <c r="F40" t="s">
        <v>1232</v>
      </c>
      <c r="G40" t="s">
        <v>1233</v>
      </c>
      <c r="H40" t="s">
        <v>1395</v>
      </c>
      <c r="I40">
        <v>80</v>
      </c>
      <c r="J40" t="s">
        <v>1234</v>
      </c>
      <c r="K40" t="s">
        <v>294</v>
      </c>
      <c r="L40">
        <v>12</v>
      </c>
      <c r="M40" t="s">
        <v>112</v>
      </c>
      <c r="N40" t="s">
        <v>832</v>
      </c>
      <c r="O40" t="s">
        <v>1235</v>
      </c>
      <c r="P40" t="s">
        <v>550</v>
      </c>
      <c r="Q40" t="s">
        <v>204</v>
      </c>
      <c r="R40" t="s">
        <v>65</v>
      </c>
      <c r="S40" t="s">
        <v>232</v>
      </c>
      <c r="T40" t="s">
        <v>273</v>
      </c>
      <c r="U40" t="s">
        <v>246</v>
      </c>
      <c r="V40" t="s">
        <v>247</v>
      </c>
      <c r="W40">
        <v>35493</v>
      </c>
      <c r="X40">
        <v>35009</v>
      </c>
      <c r="Y40">
        <v>484</v>
      </c>
      <c r="Z40">
        <v>757</v>
      </c>
      <c r="AA40" t="s">
        <v>70</v>
      </c>
      <c r="AC40" t="s">
        <v>71</v>
      </c>
      <c r="AD40" t="s">
        <v>95</v>
      </c>
      <c r="AE40">
        <v>4</v>
      </c>
      <c r="AF40">
        <v>83</v>
      </c>
      <c r="AG40">
        <v>98</v>
      </c>
      <c r="AH40" t="s">
        <v>96</v>
      </c>
      <c r="AI40">
        <v>81</v>
      </c>
      <c r="AJ40">
        <v>48</v>
      </c>
      <c r="AK40">
        <v>42</v>
      </c>
      <c r="AM40">
        <v>87</v>
      </c>
      <c r="AN40" t="s">
        <v>98</v>
      </c>
      <c r="AO40">
        <v>4</v>
      </c>
      <c r="AP40">
        <v>2</v>
      </c>
      <c r="AQ40" t="s">
        <v>883</v>
      </c>
      <c r="AR40" t="s">
        <v>966</v>
      </c>
      <c r="AS40" t="s">
        <v>70</v>
      </c>
      <c r="AT40" t="s">
        <v>76</v>
      </c>
      <c r="AU40" t="s">
        <v>160</v>
      </c>
      <c r="AV40" t="s">
        <v>147</v>
      </c>
    </row>
    <row r="41" spans="1:49" x14ac:dyDescent="0.25">
      <c r="A41" t="s">
        <v>1236</v>
      </c>
      <c r="B41" t="s">
        <v>194</v>
      </c>
      <c r="C41" t="s">
        <v>1237</v>
      </c>
      <c r="D41" t="s">
        <v>130</v>
      </c>
      <c r="E41" t="s">
        <v>1238</v>
      </c>
      <c r="F41" t="s">
        <v>1239</v>
      </c>
      <c r="G41" t="s">
        <v>1240</v>
      </c>
      <c r="H41" t="s">
        <v>1394</v>
      </c>
      <c r="I41">
        <v>83</v>
      </c>
      <c r="J41" t="s">
        <v>1241</v>
      </c>
      <c r="K41" t="s">
        <v>294</v>
      </c>
      <c r="L41">
        <v>3</v>
      </c>
      <c r="M41" t="s">
        <v>60</v>
      </c>
      <c r="N41" t="s">
        <v>449</v>
      </c>
      <c r="O41" t="s">
        <v>766</v>
      </c>
      <c r="P41" t="s">
        <v>188</v>
      </c>
      <c r="Q41" t="s">
        <v>116</v>
      </c>
      <c r="R41" t="s">
        <v>65</v>
      </c>
      <c r="S41" t="s">
        <v>219</v>
      </c>
      <c r="T41" t="s">
        <v>142</v>
      </c>
      <c r="U41" t="s">
        <v>415</v>
      </c>
      <c r="V41" t="s">
        <v>658</v>
      </c>
      <c r="W41">
        <v>19932</v>
      </c>
      <c r="X41">
        <v>17077</v>
      </c>
      <c r="Y41">
        <v>2855</v>
      </c>
      <c r="Z41">
        <v>3874</v>
      </c>
      <c r="AA41" t="s">
        <v>98</v>
      </c>
      <c r="AB41" t="s">
        <v>926</v>
      </c>
      <c r="AC41" t="s">
        <v>71</v>
      </c>
      <c r="AD41" t="s">
        <v>95</v>
      </c>
      <c r="AE41">
        <v>8</v>
      </c>
      <c r="AF41">
        <v>78</v>
      </c>
      <c r="AG41">
        <v>87</v>
      </c>
      <c r="AH41" t="s">
        <v>73</v>
      </c>
      <c r="AI41">
        <v>60</v>
      </c>
      <c r="AJ41">
        <v>30</v>
      </c>
      <c r="AK41">
        <v>28</v>
      </c>
      <c r="AL41" t="s">
        <v>97</v>
      </c>
      <c r="AM41">
        <v>93</v>
      </c>
      <c r="AN41" t="s">
        <v>98</v>
      </c>
      <c r="AO41">
        <v>2</v>
      </c>
      <c r="AP41">
        <v>3</v>
      </c>
      <c r="AQ41" t="s">
        <v>686</v>
      </c>
      <c r="AR41" t="s">
        <v>796</v>
      </c>
      <c r="AS41" t="s">
        <v>98</v>
      </c>
      <c r="AT41" t="s">
        <v>101</v>
      </c>
      <c r="AU41" t="s">
        <v>126</v>
      </c>
      <c r="AV41" t="s">
        <v>78</v>
      </c>
      <c r="AW41" t="s">
        <v>102</v>
      </c>
    </row>
    <row r="42" spans="1:49" x14ac:dyDescent="0.25">
      <c r="A42" t="s">
        <v>1242</v>
      </c>
      <c r="B42" t="s">
        <v>355</v>
      </c>
      <c r="C42" t="s">
        <v>1243</v>
      </c>
      <c r="D42" t="s">
        <v>52</v>
      </c>
      <c r="E42" t="s">
        <v>1244</v>
      </c>
      <c r="F42" t="s">
        <v>1245</v>
      </c>
      <c r="G42" t="s">
        <v>1246</v>
      </c>
      <c r="H42" t="s">
        <v>135</v>
      </c>
      <c r="I42">
        <v>94</v>
      </c>
      <c r="J42" t="s">
        <v>1247</v>
      </c>
      <c r="K42" t="s">
        <v>294</v>
      </c>
      <c r="L42">
        <v>12</v>
      </c>
      <c r="M42" t="s">
        <v>60</v>
      </c>
      <c r="N42" t="s">
        <v>1248</v>
      </c>
      <c r="O42" t="s">
        <v>1249</v>
      </c>
      <c r="P42" t="s">
        <v>259</v>
      </c>
      <c r="Q42" t="s">
        <v>116</v>
      </c>
      <c r="R42" t="s">
        <v>65</v>
      </c>
      <c r="S42" t="s">
        <v>66</v>
      </c>
      <c r="T42" t="s">
        <v>67</v>
      </c>
      <c r="U42" t="s">
        <v>583</v>
      </c>
      <c r="V42" t="s">
        <v>246</v>
      </c>
      <c r="W42">
        <v>18740</v>
      </c>
      <c r="X42">
        <v>16160</v>
      </c>
      <c r="Y42">
        <v>2580</v>
      </c>
      <c r="Z42">
        <v>2662</v>
      </c>
      <c r="AA42" t="s">
        <v>98</v>
      </c>
      <c r="AB42" t="s">
        <v>666</v>
      </c>
      <c r="AC42" t="s">
        <v>71</v>
      </c>
      <c r="AD42" t="s">
        <v>121</v>
      </c>
      <c r="AE42">
        <v>4</v>
      </c>
      <c r="AF42">
        <v>44</v>
      </c>
      <c r="AG42">
        <v>98</v>
      </c>
      <c r="AH42" t="s">
        <v>73</v>
      </c>
      <c r="AI42">
        <v>68</v>
      </c>
      <c r="AJ42">
        <v>33</v>
      </c>
      <c r="AK42">
        <v>25</v>
      </c>
      <c r="AL42" t="s">
        <v>122</v>
      </c>
      <c r="AM42">
        <v>75</v>
      </c>
      <c r="AN42" t="s">
        <v>98</v>
      </c>
      <c r="AO42">
        <v>5</v>
      </c>
      <c r="AP42">
        <v>2</v>
      </c>
      <c r="AQ42" t="s">
        <v>999</v>
      </c>
      <c r="AR42" t="s">
        <v>275</v>
      </c>
      <c r="AS42" t="s">
        <v>98</v>
      </c>
      <c r="AT42" t="s">
        <v>101</v>
      </c>
      <c r="AU42" t="s">
        <v>160</v>
      </c>
      <c r="AV42" t="s">
        <v>78</v>
      </c>
      <c r="AW42" t="s">
        <v>102</v>
      </c>
    </row>
    <row r="43" spans="1:49" x14ac:dyDescent="0.25">
      <c r="A43" t="s">
        <v>1250</v>
      </c>
      <c r="B43" t="s">
        <v>941</v>
      </c>
      <c r="C43" t="s">
        <v>1251</v>
      </c>
      <c r="D43" t="s">
        <v>130</v>
      </c>
      <c r="E43" t="s">
        <v>1252</v>
      </c>
      <c r="F43" t="s">
        <v>1253</v>
      </c>
      <c r="G43" t="s">
        <v>1254</v>
      </c>
      <c r="H43" t="s">
        <v>87</v>
      </c>
      <c r="I43">
        <v>64</v>
      </c>
      <c r="J43" t="s">
        <v>1255</v>
      </c>
      <c r="K43" t="s">
        <v>242</v>
      </c>
      <c r="L43">
        <v>6</v>
      </c>
      <c r="M43" t="s">
        <v>89</v>
      </c>
      <c r="N43" t="s">
        <v>1256</v>
      </c>
      <c r="O43" t="s">
        <v>1257</v>
      </c>
      <c r="P43" t="s">
        <v>559</v>
      </c>
      <c r="Q43" t="s">
        <v>64</v>
      </c>
      <c r="R43" t="s">
        <v>65</v>
      </c>
      <c r="S43" t="s">
        <v>219</v>
      </c>
      <c r="T43" t="s">
        <v>205</v>
      </c>
      <c r="U43" t="s">
        <v>360</v>
      </c>
      <c r="V43" t="s">
        <v>246</v>
      </c>
      <c r="W43">
        <v>43498</v>
      </c>
      <c r="X43">
        <v>43005</v>
      </c>
      <c r="Y43">
        <v>493</v>
      </c>
      <c r="Z43">
        <v>765</v>
      </c>
      <c r="AA43" t="s">
        <v>70</v>
      </c>
      <c r="AC43" t="s">
        <v>71</v>
      </c>
      <c r="AD43" t="s">
        <v>121</v>
      </c>
      <c r="AE43">
        <v>8</v>
      </c>
      <c r="AF43">
        <v>80</v>
      </c>
      <c r="AG43">
        <v>96</v>
      </c>
      <c r="AH43" t="s">
        <v>73</v>
      </c>
      <c r="AI43">
        <v>75</v>
      </c>
      <c r="AJ43">
        <v>56</v>
      </c>
      <c r="AK43">
        <v>30</v>
      </c>
      <c r="AM43">
        <v>53</v>
      </c>
      <c r="AN43" t="s">
        <v>98</v>
      </c>
      <c r="AO43">
        <v>3</v>
      </c>
      <c r="AP43">
        <v>4</v>
      </c>
      <c r="AQ43" t="s">
        <v>468</v>
      </c>
      <c r="AR43" t="s">
        <v>567</v>
      </c>
      <c r="AS43" t="s">
        <v>70</v>
      </c>
      <c r="AT43" t="s">
        <v>125</v>
      </c>
      <c r="AU43" t="s">
        <v>77</v>
      </c>
      <c r="AV43" t="s">
        <v>147</v>
      </c>
    </row>
    <row r="44" spans="1:49" x14ac:dyDescent="0.25">
      <c r="A44" t="s">
        <v>1258</v>
      </c>
      <c r="B44" t="s">
        <v>527</v>
      </c>
      <c r="C44" t="s">
        <v>1259</v>
      </c>
      <c r="D44" t="s">
        <v>52</v>
      </c>
      <c r="E44" t="s">
        <v>1260</v>
      </c>
      <c r="F44" t="s">
        <v>1261</v>
      </c>
      <c r="G44" t="s">
        <v>1262</v>
      </c>
      <c r="H44" t="s">
        <v>87</v>
      </c>
      <c r="I44">
        <v>90</v>
      </c>
      <c r="J44" t="s">
        <v>1263</v>
      </c>
      <c r="K44" t="s">
        <v>59</v>
      </c>
      <c r="L44">
        <v>12</v>
      </c>
      <c r="M44" t="s">
        <v>60</v>
      </c>
      <c r="N44" t="s">
        <v>533</v>
      </c>
      <c r="O44" t="s">
        <v>534</v>
      </c>
      <c r="P44" t="s">
        <v>92</v>
      </c>
      <c r="Q44" t="s">
        <v>64</v>
      </c>
      <c r="R44" t="s">
        <v>140</v>
      </c>
      <c r="S44" t="s">
        <v>219</v>
      </c>
      <c r="T44" t="s">
        <v>273</v>
      </c>
      <c r="U44" t="s">
        <v>143</v>
      </c>
      <c r="V44" t="s">
        <v>696</v>
      </c>
      <c r="W44">
        <v>30762</v>
      </c>
      <c r="X44">
        <v>30430</v>
      </c>
      <c r="Y44">
        <v>332</v>
      </c>
      <c r="Z44">
        <v>1231</v>
      </c>
      <c r="AA44" t="s">
        <v>98</v>
      </c>
      <c r="AB44" t="s">
        <v>310</v>
      </c>
      <c r="AC44" t="s">
        <v>71</v>
      </c>
      <c r="AD44" t="s">
        <v>121</v>
      </c>
      <c r="AE44">
        <v>2</v>
      </c>
      <c r="AF44">
        <v>78</v>
      </c>
      <c r="AG44">
        <v>80</v>
      </c>
      <c r="AH44" t="s">
        <v>234</v>
      </c>
      <c r="AI44">
        <v>66</v>
      </c>
      <c r="AJ44">
        <v>48</v>
      </c>
      <c r="AK44">
        <v>25</v>
      </c>
      <c r="AL44" t="s">
        <v>122</v>
      </c>
      <c r="AM44">
        <v>52</v>
      </c>
      <c r="AN44" t="s">
        <v>98</v>
      </c>
      <c r="AO44">
        <v>2</v>
      </c>
      <c r="AP44">
        <v>5</v>
      </c>
      <c r="AQ44" t="s">
        <v>697</v>
      </c>
      <c r="AR44" t="s">
        <v>187</v>
      </c>
      <c r="AS44" t="s">
        <v>98</v>
      </c>
      <c r="AT44" t="s">
        <v>76</v>
      </c>
      <c r="AU44" t="s">
        <v>160</v>
      </c>
      <c r="AV44" t="s">
        <v>78</v>
      </c>
      <c r="AW44" t="s">
        <v>79</v>
      </c>
    </row>
    <row r="45" spans="1:49" x14ac:dyDescent="0.25">
      <c r="A45" t="s">
        <v>1264</v>
      </c>
      <c r="B45" t="s">
        <v>402</v>
      </c>
      <c r="C45" t="s">
        <v>1265</v>
      </c>
      <c r="D45" t="s">
        <v>52</v>
      </c>
      <c r="E45" t="s">
        <v>1266</v>
      </c>
      <c r="F45" t="s">
        <v>1267</v>
      </c>
      <c r="G45" t="s">
        <v>1268</v>
      </c>
      <c r="H45" t="s">
        <v>1394</v>
      </c>
      <c r="I45">
        <v>92</v>
      </c>
      <c r="J45" t="s">
        <v>1269</v>
      </c>
      <c r="K45" t="s">
        <v>294</v>
      </c>
      <c r="L45">
        <v>3</v>
      </c>
      <c r="M45" t="s">
        <v>60</v>
      </c>
      <c r="N45" t="s">
        <v>468</v>
      </c>
      <c r="O45" t="s">
        <v>145</v>
      </c>
      <c r="P45" t="s">
        <v>331</v>
      </c>
      <c r="Q45" t="s">
        <v>204</v>
      </c>
      <c r="R45" t="s">
        <v>140</v>
      </c>
      <c r="S45" t="s">
        <v>117</v>
      </c>
      <c r="T45" t="s">
        <v>273</v>
      </c>
      <c r="U45" t="s">
        <v>583</v>
      </c>
      <c r="V45" t="s">
        <v>449</v>
      </c>
      <c r="W45">
        <v>27814</v>
      </c>
      <c r="X45">
        <v>27770</v>
      </c>
      <c r="Y45">
        <v>44</v>
      </c>
      <c r="Z45">
        <v>83</v>
      </c>
      <c r="AA45" t="s">
        <v>70</v>
      </c>
      <c r="AC45" t="s">
        <v>71</v>
      </c>
      <c r="AD45" t="s">
        <v>72</v>
      </c>
      <c r="AE45">
        <v>3</v>
      </c>
      <c r="AF45">
        <v>78</v>
      </c>
      <c r="AG45">
        <v>84</v>
      </c>
      <c r="AH45" t="s">
        <v>234</v>
      </c>
      <c r="AI45">
        <v>63</v>
      </c>
      <c r="AJ45">
        <v>29</v>
      </c>
      <c r="AK45">
        <v>15</v>
      </c>
      <c r="AM45">
        <v>51</v>
      </c>
      <c r="AN45" t="s">
        <v>70</v>
      </c>
      <c r="AO45">
        <v>1</v>
      </c>
      <c r="AP45">
        <v>2</v>
      </c>
      <c r="AQ45" t="s">
        <v>275</v>
      </c>
      <c r="AR45" t="s">
        <v>567</v>
      </c>
      <c r="AS45" t="s">
        <v>98</v>
      </c>
      <c r="AT45" t="s">
        <v>125</v>
      </c>
      <c r="AU45" t="s">
        <v>160</v>
      </c>
      <c r="AV45" t="s">
        <v>147</v>
      </c>
    </row>
    <row r="46" spans="1:49" x14ac:dyDescent="0.25">
      <c r="A46" t="s">
        <v>1270</v>
      </c>
      <c r="B46" t="s">
        <v>222</v>
      </c>
      <c r="C46" t="s">
        <v>1271</v>
      </c>
      <c r="D46" t="s">
        <v>130</v>
      </c>
      <c r="E46" t="s">
        <v>1272</v>
      </c>
      <c r="F46" t="s">
        <v>1273</v>
      </c>
      <c r="G46" t="s">
        <v>1274</v>
      </c>
      <c r="H46" t="s">
        <v>1395</v>
      </c>
      <c r="I46">
        <v>87</v>
      </c>
      <c r="J46" t="s">
        <v>1275</v>
      </c>
      <c r="K46" t="s">
        <v>111</v>
      </c>
      <c r="L46">
        <v>6</v>
      </c>
      <c r="M46" t="s">
        <v>112</v>
      </c>
      <c r="N46" t="s">
        <v>321</v>
      </c>
      <c r="O46" t="s">
        <v>1276</v>
      </c>
      <c r="P46" t="s">
        <v>231</v>
      </c>
      <c r="Q46" t="s">
        <v>204</v>
      </c>
      <c r="R46" t="s">
        <v>140</v>
      </c>
      <c r="S46" t="s">
        <v>219</v>
      </c>
      <c r="T46" t="s">
        <v>67</v>
      </c>
      <c r="U46" t="s">
        <v>714</v>
      </c>
      <c r="V46" t="s">
        <v>714</v>
      </c>
      <c r="W46">
        <v>16750</v>
      </c>
      <c r="X46">
        <v>16073</v>
      </c>
      <c r="Y46">
        <v>677</v>
      </c>
      <c r="Z46">
        <v>1591</v>
      </c>
      <c r="AA46" t="s">
        <v>98</v>
      </c>
      <c r="AB46" t="s">
        <v>386</v>
      </c>
      <c r="AC46" t="s">
        <v>71</v>
      </c>
      <c r="AD46" t="s">
        <v>191</v>
      </c>
      <c r="AE46">
        <v>3</v>
      </c>
      <c r="AF46">
        <v>90</v>
      </c>
      <c r="AG46">
        <v>91</v>
      </c>
      <c r="AH46" t="s">
        <v>234</v>
      </c>
      <c r="AI46">
        <v>72</v>
      </c>
      <c r="AJ46">
        <v>54</v>
      </c>
      <c r="AK46">
        <v>15</v>
      </c>
      <c r="AL46" t="s">
        <v>97</v>
      </c>
      <c r="AM46">
        <v>27</v>
      </c>
      <c r="AN46" t="s">
        <v>70</v>
      </c>
      <c r="AO46">
        <v>1</v>
      </c>
      <c r="AP46">
        <v>4</v>
      </c>
      <c r="AQ46" t="s">
        <v>137</v>
      </c>
      <c r="AR46" t="s">
        <v>286</v>
      </c>
      <c r="AS46" t="s">
        <v>98</v>
      </c>
      <c r="AT46" t="s">
        <v>76</v>
      </c>
      <c r="AU46" t="s">
        <v>77</v>
      </c>
      <c r="AV46" t="s">
        <v>147</v>
      </c>
    </row>
    <row r="47" spans="1:49" x14ac:dyDescent="0.25">
      <c r="A47" t="s">
        <v>1277</v>
      </c>
      <c r="B47" t="s">
        <v>253</v>
      </c>
      <c r="C47" t="s">
        <v>1278</v>
      </c>
      <c r="D47" t="s">
        <v>52</v>
      </c>
      <c r="E47" t="s">
        <v>1279</v>
      </c>
      <c r="F47" t="s">
        <v>1280</v>
      </c>
      <c r="G47" t="s">
        <v>1281</v>
      </c>
      <c r="H47" t="s">
        <v>1395</v>
      </c>
      <c r="I47">
        <v>65</v>
      </c>
      <c r="J47" t="s">
        <v>1282</v>
      </c>
      <c r="K47" t="s">
        <v>59</v>
      </c>
      <c r="L47">
        <v>6</v>
      </c>
      <c r="M47" t="s">
        <v>60</v>
      </c>
      <c r="N47" t="s">
        <v>156</v>
      </c>
      <c r="O47" t="s">
        <v>1283</v>
      </c>
      <c r="P47" t="s">
        <v>139</v>
      </c>
      <c r="Q47" t="s">
        <v>116</v>
      </c>
      <c r="R47" t="s">
        <v>140</v>
      </c>
      <c r="S47" t="s">
        <v>219</v>
      </c>
      <c r="T47" t="s">
        <v>142</v>
      </c>
      <c r="U47" t="s">
        <v>416</v>
      </c>
      <c r="V47" t="s">
        <v>190</v>
      </c>
      <c r="W47">
        <v>42822</v>
      </c>
      <c r="X47">
        <v>42670</v>
      </c>
      <c r="Y47">
        <v>152</v>
      </c>
      <c r="Z47">
        <v>4368</v>
      </c>
      <c r="AA47" t="s">
        <v>98</v>
      </c>
      <c r="AB47" t="s">
        <v>1163</v>
      </c>
      <c r="AC47" t="s">
        <v>71</v>
      </c>
      <c r="AD47" t="s">
        <v>95</v>
      </c>
      <c r="AE47">
        <v>8</v>
      </c>
      <c r="AF47">
        <v>65</v>
      </c>
      <c r="AG47">
        <v>75</v>
      </c>
      <c r="AH47" t="s">
        <v>73</v>
      </c>
      <c r="AI47">
        <v>73</v>
      </c>
      <c r="AJ47">
        <v>22</v>
      </c>
      <c r="AK47">
        <v>15</v>
      </c>
      <c r="AL47" t="s">
        <v>122</v>
      </c>
      <c r="AM47">
        <v>68</v>
      </c>
      <c r="AN47" t="s">
        <v>98</v>
      </c>
      <c r="AO47">
        <v>1</v>
      </c>
      <c r="AP47">
        <v>3</v>
      </c>
      <c r="AQ47" t="s">
        <v>1284</v>
      </c>
      <c r="AR47" t="s">
        <v>695</v>
      </c>
      <c r="AS47" t="s">
        <v>70</v>
      </c>
      <c r="AT47" t="s">
        <v>177</v>
      </c>
      <c r="AU47" t="s">
        <v>126</v>
      </c>
      <c r="AV47" t="s">
        <v>147</v>
      </c>
    </row>
    <row r="48" spans="1:49" x14ac:dyDescent="0.25">
      <c r="A48" t="s">
        <v>1285</v>
      </c>
      <c r="B48" t="s">
        <v>1341</v>
      </c>
      <c r="C48" t="s">
        <v>1286</v>
      </c>
      <c r="D48" t="s">
        <v>130</v>
      </c>
      <c r="E48" t="s">
        <v>1287</v>
      </c>
      <c r="F48" t="s">
        <v>1288</v>
      </c>
      <c r="G48" t="s">
        <v>1289</v>
      </c>
      <c r="H48" t="s">
        <v>1395</v>
      </c>
      <c r="I48">
        <v>80</v>
      </c>
      <c r="J48" t="s">
        <v>1290</v>
      </c>
      <c r="K48" t="s">
        <v>111</v>
      </c>
      <c r="L48">
        <v>12</v>
      </c>
      <c r="M48" t="s">
        <v>60</v>
      </c>
      <c r="N48" t="s">
        <v>824</v>
      </c>
      <c r="O48" t="s">
        <v>867</v>
      </c>
      <c r="P48" t="s">
        <v>384</v>
      </c>
      <c r="Q48" t="s">
        <v>204</v>
      </c>
      <c r="R48" t="s">
        <v>140</v>
      </c>
      <c r="S48" t="s">
        <v>141</v>
      </c>
      <c r="T48" t="s">
        <v>142</v>
      </c>
      <c r="U48" t="s">
        <v>372</v>
      </c>
      <c r="V48" t="s">
        <v>332</v>
      </c>
      <c r="W48">
        <v>21068</v>
      </c>
      <c r="X48">
        <v>21002</v>
      </c>
      <c r="Y48">
        <v>66</v>
      </c>
      <c r="Z48">
        <v>121</v>
      </c>
      <c r="AA48" t="s">
        <v>70</v>
      </c>
      <c r="AC48" t="s">
        <v>71</v>
      </c>
      <c r="AD48" t="s">
        <v>121</v>
      </c>
      <c r="AE48">
        <v>8</v>
      </c>
      <c r="AF48">
        <v>63</v>
      </c>
      <c r="AG48">
        <v>66</v>
      </c>
      <c r="AH48" t="s">
        <v>234</v>
      </c>
      <c r="AI48">
        <v>85</v>
      </c>
      <c r="AJ48">
        <v>49</v>
      </c>
      <c r="AK48">
        <v>47</v>
      </c>
      <c r="AL48" t="s">
        <v>122</v>
      </c>
      <c r="AM48">
        <v>95</v>
      </c>
      <c r="AN48" t="s">
        <v>70</v>
      </c>
      <c r="AO48">
        <v>2</v>
      </c>
      <c r="AP48">
        <v>2</v>
      </c>
      <c r="AQ48" t="s">
        <v>341</v>
      </c>
      <c r="AR48" t="s">
        <v>416</v>
      </c>
      <c r="AS48" t="s">
        <v>98</v>
      </c>
      <c r="AT48" t="s">
        <v>287</v>
      </c>
      <c r="AU48" t="s">
        <v>77</v>
      </c>
      <c r="AV48" t="s">
        <v>147</v>
      </c>
    </row>
    <row r="49" spans="1:49" x14ac:dyDescent="0.25">
      <c r="A49" t="s">
        <v>1291</v>
      </c>
      <c r="B49" t="s">
        <v>1340</v>
      </c>
      <c r="C49" t="s">
        <v>745</v>
      </c>
      <c r="D49" t="s">
        <v>130</v>
      </c>
      <c r="E49" t="s">
        <v>1292</v>
      </c>
      <c r="F49" t="s">
        <v>1293</v>
      </c>
      <c r="G49" t="s">
        <v>1294</v>
      </c>
      <c r="H49" t="s">
        <v>57</v>
      </c>
      <c r="I49">
        <v>61</v>
      </c>
      <c r="J49" t="s">
        <v>1295</v>
      </c>
      <c r="K49" t="s">
        <v>169</v>
      </c>
      <c r="L49">
        <v>12</v>
      </c>
      <c r="M49" t="s">
        <v>112</v>
      </c>
      <c r="N49" t="s">
        <v>640</v>
      </c>
      <c r="O49" t="s">
        <v>657</v>
      </c>
      <c r="P49" t="s">
        <v>396</v>
      </c>
      <c r="Q49" t="s">
        <v>116</v>
      </c>
      <c r="R49" t="s">
        <v>140</v>
      </c>
      <c r="S49" t="s">
        <v>141</v>
      </c>
      <c r="T49" t="s">
        <v>67</v>
      </c>
      <c r="U49" t="s">
        <v>658</v>
      </c>
      <c r="V49" t="s">
        <v>658</v>
      </c>
      <c r="W49">
        <v>40078</v>
      </c>
      <c r="X49">
        <v>37767</v>
      </c>
      <c r="Y49">
        <v>2311</v>
      </c>
      <c r="Z49">
        <v>3511</v>
      </c>
      <c r="AA49" t="s">
        <v>98</v>
      </c>
      <c r="AB49" t="s">
        <v>1284</v>
      </c>
      <c r="AC49" t="s">
        <v>71</v>
      </c>
      <c r="AD49" t="s">
        <v>191</v>
      </c>
      <c r="AE49">
        <v>4</v>
      </c>
      <c r="AF49">
        <v>65</v>
      </c>
      <c r="AG49">
        <v>77</v>
      </c>
      <c r="AH49" t="s">
        <v>73</v>
      </c>
      <c r="AI49">
        <v>68</v>
      </c>
      <c r="AJ49">
        <v>34</v>
      </c>
      <c r="AK49">
        <v>18</v>
      </c>
      <c r="AM49">
        <v>52</v>
      </c>
      <c r="AN49" t="s">
        <v>70</v>
      </c>
      <c r="AO49">
        <v>4</v>
      </c>
      <c r="AP49">
        <v>4</v>
      </c>
      <c r="AQ49" t="s">
        <v>1119</v>
      </c>
      <c r="AR49" t="s">
        <v>833</v>
      </c>
      <c r="AS49" t="s">
        <v>98</v>
      </c>
      <c r="AT49" t="s">
        <v>177</v>
      </c>
      <c r="AU49" t="s">
        <v>126</v>
      </c>
      <c r="AV49" t="s">
        <v>78</v>
      </c>
      <c r="AW49" t="s">
        <v>102</v>
      </c>
    </row>
    <row r="50" spans="1:49" x14ac:dyDescent="0.25">
      <c r="A50" t="s">
        <v>1296</v>
      </c>
      <c r="B50" t="s">
        <v>278</v>
      </c>
      <c r="C50" t="s">
        <v>1297</v>
      </c>
      <c r="D50" t="s">
        <v>106</v>
      </c>
      <c r="E50" t="s">
        <v>1298</v>
      </c>
      <c r="F50" t="s">
        <v>1299</v>
      </c>
      <c r="G50" t="s">
        <v>1300</v>
      </c>
      <c r="H50" t="s">
        <v>87</v>
      </c>
      <c r="I50">
        <v>94</v>
      </c>
      <c r="J50" t="s">
        <v>1301</v>
      </c>
      <c r="K50" t="s">
        <v>242</v>
      </c>
      <c r="L50">
        <v>6</v>
      </c>
      <c r="M50" t="s">
        <v>112</v>
      </c>
      <c r="N50" t="s">
        <v>201</v>
      </c>
      <c r="O50" t="s">
        <v>1302</v>
      </c>
      <c r="P50" t="s">
        <v>550</v>
      </c>
      <c r="Q50" t="s">
        <v>116</v>
      </c>
      <c r="R50" t="s">
        <v>140</v>
      </c>
      <c r="S50" t="s">
        <v>117</v>
      </c>
      <c r="T50" t="s">
        <v>118</v>
      </c>
      <c r="U50" t="s">
        <v>706</v>
      </c>
      <c r="V50" t="s">
        <v>706</v>
      </c>
      <c r="W50">
        <v>42710</v>
      </c>
      <c r="X50">
        <v>42471</v>
      </c>
      <c r="Y50">
        <v>239</v>
      </c>
      <c r="Z50">
        <v>2937</v>
      </c>
      <c r="AA50" t="s">
        <v>70</v>
      </c>
      <c r="AC50" t="s">
        <v>71</v>
      </c>
      <c r="AD50" t="s">
        <v>191</v>
      </c>
      <c r="AE50">
        <v>8</v>
      </c>
      <c r="AF50">
        <v>55</v>
      </c>
      <c r="AG50">
        <v>88</v>
      </c>
      <c r="AH50" t="s">
        <v>73</v>
      </c>
      <c r="AI50">
        <v>82</v>
      </c>
      <c r="AJ50">
        <v>59</v>
      </c>
      <c r="AK50">
        <v>51</v>
      </c>
      <c r="AL50" t="s">
        <v>97</v>
      </c>
      <c r="AM50">
        <v>86</v>
      </c>
      <c r="AN50" t="s">
        <v>70</v>
      </c>
      <c r="AO50">
        <v>5</v>
      </c>
      <c r="AP50">
        <v>3</v>
      </c>
      <c r="AQ50" t="s">
        <v>351</v>
      </c>
      <c r="AR50" t="s">
        <v>74</v>
      </c>
      <c r="AS50" t="s">
        <v>98</v>
      </c>
      <c r="AT50" t="s">
        <v>101</v>
      </c>
      <c r="AU50" t="s">
        <v>160</v>
      </c>
      <c r="AV50" t="s">
        <v>147</v>
      </c>
    </row>
    <row r="51" spans="1:49" x14ac:dyDescent="0.25">
      <c r="A51" t="s">
        <v>1303</v>
      </c>
      <c r="B51" t="s">
        <v>973</v>
      </c>
      <c r="C51" t="s">
        <v>1304</v>
      </c>
      <c r="D51" t="s">
        <v>106</v>
      </c>
      <c r="E51" t="s">
        <v>1305</v>
      </c>
      <c r="F51" t="s">
        <v>1306</v>
      </c>
      <c r="G51" t="s">
        <v>1307</v>
      </c>
      <c r="H51" t="s">
        <v>1394</v>
      </c>
      <c r="I51">
        <v>95</v>
      </c>
      <c r="J51" t="s">
        <v>1308</v>
      </c>
      <c r="K51" t="s">
        <v>59</v>
      </c>
      <c r="L51">
        <v>6</v>
      </c>
      <c r="M51" t="s">
        <v>60</v>
      </c>
      <c r="N51" t="s">
        <v>305</v>
      </c>
      <c r="O51" t="s">
        <v>959</v>
      </c>
      <c r="P51" t="s">
        <v>524</v>
      </c>
      <c r="Q51" t="s">
        <v>116</v>
      </c>
      <c r="R51" t="s">
        <v>65</v>
      </c>
      <c r="S51" t="s">
        <v>141</v>
      </c>
      <c r="T51" t="s">
        <v>142</v>
      </c>
      <c r="U51" t="s">
        <v>1309</v>
      </c>
      <c r="V51" t="s">
        <v>395</v>
      </c>
      <c r="W51">
        <v>22520</v>
      </c>
      <c r="X51">
        <v>22365</v>
      </c>
      <c r="Y51">
        <v>155</v>
      </c>
      <c r="Z51">
        <v>574</v>
      </c>
      <c r="AA51" t="s">
        <v>70</v>
      </c>
      <c r="AC51" t="s">
        <v>71</v>
      </c>
      <c r="AD51" t="s">
        <v>191</v>
      </c>
      <c r="AE51">
        <v>3</v>
      </c>
      <c r="AF51">
        <v>49</v>
      </c>
      <c r="AG51">
        <v>77</v>
      </c>
      <c r="AH51" t="s">
        <v>234</v>
      </c>
      <c r="AI51">
        <v>79</v>
      </c>
      <c r="AJ51">
        <v>43</v>
      </c>
      <c r="AK51">
        <v>40</v>
      </c>
      <c r="AL51" t="s">
        <v>97</v>
      </c>
      <c r="AM51">
        <v>93</v>
      </c>
      <c r="AN51" t="s">
        <v>70</v>
      </c>
      <c r="AO51">
        <v>2</v>
      </c>
      <c r="AP51">
        <v>4</v>
      </c>
      <c r="AQ51" t="s">
        <v>209</v>
      </c>
      <c r="AR51" t="s">
        <v>440</v>
      </c>
      <c r="AS51" t="s">
        <v>98</v>
      </c>
      <c r="AT51" t="s">
        <v>76</v>
      </c>
      <c r="AU51" t="s">
        <v>77</v>
      </c>
      <c r="AV51" t="s">
        <v>78</v>
      </c>
      <c r="AW51" t="s">
        <v>79</v>
      </c>
    </row>
  </sheetData>
  <conditionalFormatting sqref="B1:B1048576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Pivot Table</vt:lpstr>
      <vt:lpstr>Combined attendance</vt:lpstr>
      <vt:lpstr>Aundh</vt:lpstr>
      <vt:lpstr>Master Sheet</vt:lpstr>
      <vt:lpstr>Sheet1</vt:lpstr>
      <vt:lpstr>Kondhwa</vt:lpstr>
      <vt:lpstr>Sinhgad_Road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Home PC</cp:lastModifiedBy>
  <cp:lastPrinted>2026-04-18T18:12:54Z</cp:lastPrinted>
  <dcterms:created xsi:type="dcterms:W3CDTF">2025-07-16T12:22:00Z</dcterms:created>
  <dcterms:modified xsi:type="dcterms:W3CDTF">2026-04-18T19:34:23Z</dcterms:modified>
</cp:coreProperties>
</file>